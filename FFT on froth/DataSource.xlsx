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bendaouia\Desktop\"/>
    </mc:Choice>
  </mc:AlternateContent>
  <xr:revisionPtr revIDLastSave="0" documentId="13_ncr:1_{A17A1860-8F9A-4B4A-B67A-66EAF118732B}" xr6:coauthVersionLast="47" xr6:coauthVersionMax="47" xr10:uidLastSave="{00000000-0000-0000-0000-000000000000}"/>
  <bookViews>
    <workbookView xWindow="-108" yWindow="-108" windowWidth="23256" windowHeight="12720" xr2:uid="{94314361-4EA0-47B1-877B-6883B0CC2D55}"/>
  </bookViews>
  <sheets>
    <sheet name="Relavage Pb" sheetId="15" r:id="rId1"/>
    <sheet name="Relavage 1" sheetId="16" r:id="rId2"/>
    <sheet name="Relavage 3" sheetId="17" r:id="rId3"/>
    <sheet name="Relavage 4" sheetId="13" r:id="rId4"/>
    <sheet name="Statistics" sheetId="1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7" i="18" l="1"/>
  <c r="H26" i="18"/>
  <c r="H27" i="18"/>
  <c r="I13" i="18"/>
  <c r="J13" i="18"/>
  <c r="C28" i="18"/>
  <c r="D28" i="18"/>
  <c r="E28" i="18"/>
  <c r="H28" i="18"/>
  <c r="I28" i="18"/>
  <c r="J28" i="18"/>
  <c r="I12" i="18"/>
  <c r="J12" i="18"/>
  <c r="C27" i="18"/>
  <c r="D27" i="18"/>
  <c r="E27" i="18"/>
  <c r="J27" i="18"/>
  <c r="H13" i="18"/>
  <c r="H12" i="18"/>
  <c r="J25" i="18"/>
  <c r="H25" i="18"/>
  <c r="I11" i="18"/>
  <c r="J11" i="18"/>
  <c r="C26" i="18"/>
  <c r="D26" i="18"/>
  <c r="E26" i="18"/>
  <c r="I26" i="18"/>
  <c r="J26" i="18"/>
  <c r="I10" i="18"/>
  <c r="J10" i="18"/>
  <c r="C25" i="18"/>
  <c r="D25" i="18"/>
  <c r="E25" i="18"/>
  <c r="I25" i="18"/>
  <c r="H11" i="18"/>
  <c r="H10" i="18"/>
  <c r="E10" i="18"/>
  <c r="C13" i="18"/>
  <c r="C12" i="18"/>
  <c r="C10" i="18"/>
  <c r="E12" i="18"/>
  <c r="D13" i="18"/>
  <c r="E13" i="18"/>
  <c r="D12" i="18"/>
  <c r="D11" i="18"/>
  <c r="E11" i="18"/>
  <c r="D10" i="18"/>
  <c r="C11" i="18"/>
  <c r="L26" i="15"/>
  <c r="M26" i="15"/>
  <c r="N26" i="15"/>
  <c r="L25" i="15"/>
  <c r="N25" i="15"/>
  <c r="M25" i="15"/>
  <c r="E13" i="17"/>
  <c r="B13" i="17"/>
  <c r="C12" i="17"/>
  <c r="D12" i="17"/>
  <c r="E12" i="17"/>
  <c r="B12" i="17"/>
  <c r="D13" i="17"/>
  <c r="C13" i="17"/>
  <c r="C13" i="16"/>
  <c r="D13" i="16"/>
  <c r="E13" i="16"/>
  <c r="B13" i="16"/>
  <c r="C12" i="16"/>
  <c r="D12" i="16"/>
  <c r="E12" i="16"/>
  <c r="B12" i="16"/>
  <c r="B18" i="13"/>
  <c r="D18" i="13"/>
  <c r="C18" i="13"/>
  <c r="B19" i="13"/>
  <c r="C39" i="15"/>
  <c r="D39" i="15"/>
  <c r="E39" i="15"/>
  <c r="B39" i="15"/>
  <c r="C38" i="15"/>
  <c r="D38" i="15"/>
  <c r="E38" i="15"/>
  <c r="B38" i="15"/>
  <c r="E19" i="13"/>
  <c r="E18" i="13"/>
  <c r="C19" i="13"/>
  <c r="D19" i="13"/>
</calcChain>
</file>

<file path=xl/sharedStrings.xml><?xml version="1.0" encoding="utf-8"?>
<sst xmlns="http://schemas.openxmlformats.org/spreadsheetml/2006/main" count="426" uniqueCount="80">
  <si>
    <t>Date</t>
  </si>
  <si>
    <t>Cu (%)</t>
  </si>
  <si>
    <t>Fe (%)</t>
  </si>
  <si>
    <t>Pb (%)</t>
  </si>
  <si>
    <t>Zn (%)</t>
  </si>
  <si>
    <t>rl4_pb17-4.mp4</t>
  </si>
  <si>
    <t>rl3_pb17-4.mp4</t>
  </si>
  <si>
    <t>rl1_pb17-4.mp4</t>
  </si>
  <si>
    <t>rl4_pb16-4.mp4</t>
  </si>
  <si>
    <t>rl3_pb16-4.mp4</t>
  </si>
  <si>
    <t>rl1_pb16-4.mp4</t>
  </si>
  <si>
    <t>rl4_pb12-4.mp4</t>
  </si>
  <si>
    <t>rl3_pb12-4.mp4</t>
  </si>
  <si>
    <t>rl1_pb12-4.mp4</t>
  </si>
  <si>
    <t>rl4_pb9-4.mp4</t>
  </si>
  <si>
    <t>rl3_pb9-4.mp4</t>
  </si>
  <si>
    <t>rl1_pb9-4.mp4</t>
  </si>
  <si>
    <t>rl4_pb4-4.mp4</t>
  </si>
  <si>
    <t>rl3_pb4-4.mp4</t>
  </si>
  <si>
    <t>rl1_pb4-4.mp4</t>
  </si>
  <si>
    <t>rl4_pb2-4.mp4</t>
  </si>
  <si>
    <t>rl3_pb2-4.mp4</t>
  </si>
  <si>
    <t>rl1_pb2-4.mp4</t>
  </si>
  <si>
    <t>rl1_pb19-4.mp4</t>
  </si>
  <si>
    <t>rl3_pb19-4.mp4</t>
  </si>
  <si>
    <t>rl4_pb19-4.mp4</t>
  </si>
  <si>
    <t>rl1_pb23-4.mp4</t>
  </si>
  <si>
    <t>rl3_pb23-4.mp4</t>
  </si>
  <si>
    <t>rl4_pb23-4.mp4</t>
  </si>
  <si>
    <t>rl1_pb30-4.mp4</t>
  </si>
  <si>
    <t>rl3_pb30-4.mp4</t>
  </si>
  <si>
    <t>rl4_pb30-4.mp4</t>
  </si>
  <si>
    <t>points</t>
  </si>
  <si>
    <t>rl1_pb9-5.mp4</t>
  </si>
  <si>
    <t>rl3_pb9-5.mp4</t>
  </si>
  <si>
    <t>rl4_pb9-5.mp4</t>
  </si>
  <si>
    <t>rl4_pb8-7.mp4</t>
  </si>
  <si>
    <t>rl4_pb30-6.mp4</t>
  </si>
  <si>
    <t>rl4_pb15-7.mp4</t>
  </si>
  <si>
    <t>Source teneurs</t>
  </si>
  <si>
    <t>Instantané</t>
  </si>
  <si>
    <t>Instantané + la march</t>
  </si>
  <si>
    <t>Type</t>
  </si>
  <si>
    <t>train</t>
  </si>
  <si>
    <t>test</t>
  </si>
  <si>
    <t>Cellule</t>
  </si>
  <si>
    <t>dep</t>
  </si>
  <si>
    <t>Relavage 1</t>
  </si>
  <si>
    <t>Relavage 3</t>
  </si>
  <si>
    <t>Relavage 4</t>
  </si>
  <si>
    <t>Moyenne</t>
  </si>
  <si>
    <t>Ecart type</t>
  </si>
  <si>
    <t xml:space="preserve">Moyenne </t>
  </si>
  <si>
    <t>Qualité</t>
  </si>
  <si>
    <t>rl4_pb01_2022_15-07.mp4</t>
  </si>
  <si>
    <t>Courier 6G</t>
  </si>
  <si>
    <t>Description</t>
  </si>
  <si>
    <t>High light</t>
  </si>
  <si>
    <t>low light, obs 2, 11:10</t>
  </si>
  <si>
    <t>rl4_pb02_2022_15-07.mp4</t>
  </si>
  <si>
    <t>High light, obs 1, 10:40</t>
  </si>
  <si>
    <t>rl4_pb03_2022_15-07.mp4</t>
  </si>
  <si>
    <t>low light, obs 3, 11:25</t>
  </si>
  <si>
    <t>No light</t>
  </si>
  <si>
    <t>relavage 1 Pb 23/04</t>
  </si>
  <si>
    <t>relavage 3 Pb 17/04</t>
  </si>
  <si>
    <t>relavage 4 Pb 25/05 -3</t>
  </si>
  <si>
    <t>relavage 4 Pb 09/05 -1</t>
  </si>
  <si>
    <t>relavage 4 Pb 15/07</t>
  </si>
  <si>
    <t>Predicted 1</t>
  </si>
  <si>
    <t>Predicted 2</t>
  </si>
  <si>
    <t>Observed</t>
  </si>
  <si>
    <t>Pb%</t>
  </si>
  <si>
    <t>Zn%</t>
  </si>
  <si>
    <t>Fe%</t>
  </si>
  <si>
    <t>Cu%</t>
  </si>
  <si>
    <t>Std relavage 4</t>
  </si>
  <si>
    <t>Average relavage 4</t>
  </si>
  <si>
    <t>Average total</t>
  </si>
  <si>
    <t>Std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</si>
</sst>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_-* #,##0.00\ _D_H_-;\-* #,##0.00\ _D_H_-;_-* &quot;-&quot;??\ _D_H_-;_-@_-"/>
    <numFmt numFmtId="165" formatCode="_-* #,##0.00\ _€_-;\-* #,##0.00\ _€_-;_-* &quot;-&quot;??\ _€_-;_-@_-"/>
    <numFmt numFmtId="166" formatCode="0.00_)"/>
    <numFmt numFmtId="167" formatCode="_-* #,##0.00\ [$€]_-;\-* #,##0.00\ [$€]_-;_-* &quot;-&quot;??\ [$€]_-;_-@_-"/>
    <numFmt numFmtId="168" formatCode="&quot;$&quot;#,##0;[Red]\-&quot;$&quot;#,##0"/>
    <numFmt numFmtId="169" formatCode="_-* #,##0.00\ [$€-1]_-;\-* #,##0.00\ [$€-1]_-;_-* &quot;-&quot;??\ [$€-1]_-"/>
    <numFmt numFmtId="170" formatCode="_-* #,##0.00\ _F_-;\-* #,##0.00\ _F_-;_-* &quot;-&quot;??\ _F_-;_-@_-"/>
  </numFmts>
  <fonts count="4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b/>
      <sz val="12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12"/>
      <name val="Helv"/>
    </font>
    <font>
      <sz val="11"/>
      <color theme="1"/>
      <name val="Arial"/>
      <family val="2"/>
    </font>
    <font>
      <sz val="11"/>
      <color indexed="62"/>
      <name val="Calibri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006100"/>
      <name val="Arial"/>
      <family val="2"/>
    </font>
    <font>
      <b/>
      <sz val="11"/>
      <color rgb="FF3F3F3F"/>
      <name val="Arial"/>
      <family val="2"/>
    </font>
    <font>
      <i/>
      <sz val="11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1"/>
      <color theme="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7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960">
    <xf numFmtId="0" fontId="0" fillId="0" borderId="0"/>
    <xf numFmtId="0" fontId="4" fillId="0" borderId="10" applyNumberFormat="0" applyFill="0" applyAlignment="0" applyProtection="0"/>
    <xf numFmtId="0" fontId="5" fillId="0" borderId="11" applyNumberFormat="0" applyFill="0" applyAlignment="0" applyProtection="0"/>
    <xf numFmtId="0" fontId="6" fillId="0" borderId="12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6" borderId="13" applyNumberFormat="0" applyAlignment="0" applyProtection="0"/>
    <xf numFmtId="0" fontId="10" fillId="7" borderId="14" applyNumberFormat="0" applyAlignment="0" applyProtection="0"/>
    <xf numFmtId="0" fontId="11" fillId="7" borderId="13" applyNumberFormat="0" applyAlignment="0" applyProtection="0"/>
    <xf numFmtId="0" fontId="12" fillId="0" borderId="15" applyNumberFormat="0" applyFill="0" applyAlignment="0" applyProtection="0"/>
    <xf numFmtId="0" fontId="13" fillId="8" borderId="1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16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6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6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6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6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6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7" fillId="0" borderId="0"/>
    <xf numFmtId="0" fontId="17" fillId="0" borderId="0"/>
    <xf numFmtId="165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5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16" fillId="33" borderId="0" applyNumberFormat="0" applyBorder="0" applyAlignment="0" applyProtection="0"/>
    <xf numFmtId="167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17" fillId="0" borderId="0"/>
    <xf numFmtId="166" fontId="24" fillId="0" borderId="0"/>
    <xf numFmtId="169" fontId="24" fillId="0" borderId="0" applyFont="0" applyFill="0" applyBorder="0" applyAlignment="0" applyProtection="0"/>
    <xf numFmtId="38" fontId="21" fillId="34" borderId="0" applyNumberFormat="0" applyBorder="0" applyAlignment="0" applyProtection="0"/>
    <xf numFmtId="0" fontId="20" fillId="0" borderId="19" applyNumberFormat="0" applyAlignment="0" applyProtection="0">
      <alignment horizontal="left" vertical="center"/>
    </xf>
    <xf numFmtId="0" fontId="20" fillId="0" borderId="20">
      <alignment horizontal="left" vertical="center"/>
    </xf>
    <xf numFmtId="10" fontId="21" fillId="36" borderId="1" applyNumberFormat="0" applyBorder="0" applyAlignment="0" applyProtection="0"/>
    <xf numFmtId="0" fontId="26" fillId="35" borderId="21" applyNumberFormat="0" applyAlignment="0" applyProtection="0"/>
    <xf numFmtId="168" fontId="24" fillId="0" borderId="0"/>
    <xf numFmtId="10" fontId="17" fillId="0" borderId="0" applyFont="0" applyFill="0" applyBorder="0" applyAlignment="0" applyProtection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0" borderId="0"/>
    <xf numFmtId="0" fontId="3" fillId="0" borderId="0"/>
    <xf numFmtId="0" fontId="3" fillId="19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0" borderId="0"/>
    <xf numFmtId="0" fontId="3" fillId="11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9" borderId="17" applyNumberFormat="0" applyFont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0" borderId="0"/>
    <xf numFmtId="0" fontId="3" fillId="0" borderId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5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17" applyNumberFormat="0" applyFont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17" applyNumberFormat="0" applyFont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9" borderId="17" applyNumberFormat="0" applyFont="0" applyAlignment="0" applyProtection="0"/>
    <xf numFmtId="0" fontId="3" fillId="0" borderId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20" borderId="0" applyNumberFormat="0" applyBorder="0" applyAlignment="0" applyProtection="0"/>
    <xf numFmtId="0" fontId="3" fillId="0" borderId="0"/>
    <xf numFmtId="0" fontId="3" fillId="0" borderId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0" borderId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9" borderId="17" applyNumberFormat="0" applyFont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9" borderId="17" applyNumberFormat="0" applyFont="0" applyAlignment="0" applyProtection="0"/>
    <xf numFmtId="0" fontId="3" fillId="19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17" applyNumberFormat="0" applyFont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0" borderId="0"/>
    <xf numFmtId="0" fontId="3" fillId="19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17" applyNumberFormat="0" applyFont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17" applyNumberFormat="0" applyFont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19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9" borderId="17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5" fillId="11" borderId="0" applyNumberFormat="0" applyBorder="0" applyAlignment="0" applyProtection="0"/>
    <xf numFmtId="0" fontId="25" fillId="15" borderId="0" applyNumberFormat="0" applyBorder="0" applyAlignment="0" applyProtection="0"/>
    <xf numFmtId="0" fontId="25" fillId="19" borderId="0" applyNumberFormat="0" applyBorder="0" applyAlignment="0" applyProtection="0"/>
    <xf numFmtId="0" fontId="25" fillId="23" borderId="0" applyNumberFormat="0" applyBorder="0" applyAlignment="0" applyProtection="0"/>
    <xf numFmtId="0" fontId="25" fillId="27" borderId="0" applyNumberFormat="0" applyBorder="0" applyAlignment="0" applyProtection="0"/>
    <xf numFmtId="0" fontId="25" fillId="31" borderId="0" applyNumberFormat="0" applyBorder="0" applyAlignment="0" applyProtection="0"/>
    <xf numFmtId="0" fontId="25" fillId="12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21" borderId="0" applyNumberFormat="0" applyBorder="0" applyAlignment="0" applyProtection="0"/>
    <xf numFmtId="0" fontId="27" fillId="25" borderId="0" applyNumberFormat="0" applyBorder="0" applyAlignment="0" applyProtection="0"/>
    <xf numFmtId="0" fontId="27" fillId="29" borderId="0" applyNumberFormat="0" applyBorder="0" applyAlignment="0" applyProtection="0"/>
    <xf numFmtId="0" fontId="27" fillId="33" borderId="0" applyNumberFormat="0" applyBorder="0" applyAlignment="0" applyProtection="0"/>
    <xf numFmtId="0" fontId="27" fillId="10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22" borderId="0" applyNumberFormat="0" applyBorder="0" applyAlignment="0" applyProtection="0"/>
    <xf numFmtId="0" fontId="27" fillId="26" borderId="0" applyNumberFormat="0" applyBorder="0" applyAlignment="0" applyProtection="0"/>
    <xf numFmtId="0" fontId="27" fillId="30" borderId="0" applyNumberFormat="0" applyBorder="0" applyAlignment="0" applyProtection="0"/>
    <xf numFmtId="0" fontId="28" fillId="0" borderId="0" applyNumberFormat="0" applyFill="0" applyBorder="0" applyAlignment="0" applyProtection="0"/>
    <xf numFmtId="0" fontId="29" fillId="7" borderId="13" applyNumberFormat="0" applyAlignment="0" applyProtection="0"/>
    <xf numFmtId="0" fontId="30" fillId="0" borderId="15" applyNumberFormat="0" applyFill="0" applyAlignment="0" applyProtection="0"/>
    <xf numFmtId="0" fontId="25" fillId="9" borderId="17" applyNumberFormat="0" applyFont="0" applyAlignment="0" applyProtection="0"/>
    <xf numFmtId="0" fontId="31" fillId="6" borderId="13" applyNumberFormat="0" applyAlignment="0" applyProtection="0"/>
    <xf numFmtId="0" fontId="32" fillId="4" borderId="0" applyNumberFormat="0" applyBorder="0" applyAlignment="0" applyProtection="0"/>
    <xf numFmtId="0" fontId="33" fillId="5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4" fillId="3" borderId="0" applyNumberFormat="0" applyBorder="0" applyAlignment="0" applyProtection="0"/>
    <xf numFmtId="0" fontId="35" fillId="7" borderId="14" applyNumberFormat="0" applyAlignment="0" applyProtection="0"/>
    <xf numFmtId="0" fontId="36" fillId="0" borderId="0" applyNumberFormat="0" applyFill="0" applyBorder="0" applyAlignment="0" applyProtection="0"/>
    <xf numFmtId="0" fontId="37" fillId="0" borderId="10" applyNumberFormat="0" applyFill="0" applyAlignment="0" applyProtection="0"/>
    <xf numFmtId="0" fontId="38" fillId="0" borderId="11" applyNumberFormat="0" applyFill="0" applyAlignment="0" applyProtection="0"/>
    <xf numFmtId="0" fontId="39" fillId="0" borderId="12" applyNumberFormat="0" applyFill="0" applyAlignment="0" applyProtection="0"/>
    <xf numFmtId="0" fontId="39" fillId="0" borderId="0" applyNumberFormat="0" applyFill="0" applyBorder="0" applyAlignment="0" applyProtection="0"/>
    <xf numFmtId="0" fontId="22" fillId="0" borderId="18" applyNumberFormat="0" applyFill="0" applyAlignment="0" applyProtection="0"/>
    <xf numFmtId="0" fontId="40" fillId="8" borderId="16" applyNumberForma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0" borderId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0" borderId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0" borderId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0" borderId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0" borderId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0" borderId="0"/>
    <xf numFmtId="0" fontId="25" fillId="0" borderId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0" borderId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0" borderId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0" borderId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0" borderId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0" borderId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0" borderId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0" borderId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0" borderId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0" borderId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9" borderId="17" applyNumberFormat="0" applyFont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0" borderId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70" fontId="17" fillId="0" borderId="0" applyFont="0" applyFill="0" applyBorder="0" applyAlignment="0" applyProtection="0"/>
    <xf numFmtId="0" fontId="17" fillId="0" borderId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0" borderId="0"/>
    <xf numFmtId="0" fontId="3" fillId="0" borderId="0"/>
    <xf numFmtId="0" fontId="3" fillId="19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0" borderId="0"/>
    <xf numFmtId="0" fontId="3" fillId="11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9" borderId="17" applyNumberFormat="0" applyFont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0" borderId="0"/>
    <xf numFmtId="0" fontId="3" fillId="0" borderId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5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17" applyNumberFormat="0" applyFont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17" applyNumberFormat="0" applyFont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9" borderId="17" applyNumberFormat="0" applyFont="0" applyAlignment="0" applyProtection="0"/>
    <xf numFmtId="0" fontId="3" fillId="0" borderId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20" borderId="0" applyNumberFormat="0" applyBorder="0" applyAlignment="0" applyProtection="0"/>
    <xf numFmtId="0" fontId="3" fillId="0" borderId="0"/>
    <xf numFmtId="0" fontId="3" fillId="0" borderId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0" borderId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9" borderId="17" applyNumberFormat="0" applyFont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9" borderId="17" applyNumberFormat="0" applyFont="0" applyAlignment="0" applyProtection="0"/>
    <xf numFmtId="0" fontId="3" fillId="19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17" applyNumberFormat="0" applyFont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0" borderId="0"/>
    <xf numFmtId="0" fontId="3" fillId="19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17" applyNumberFormat="0" applyFont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17" applyNumberFormat="0" applyFont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9" borderId="17" applyNumberFormat="0" applyFont="0" applyAlignment="0" applyProtection="0"/>
    <xf numFmtId="0" fontId="3" fillId="0" borderId="0"/>
    <xf numFmtId="0" fontId="3" fillId="0" borderId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9" borderId="17" applyNumberFormat="0" applyFont="0" applyAlignment="0" applyProtection="0"/>
    <xf numFmtId="0" fontId="3" fillId="19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9" borderId="17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7" fillId="0" borderId="0"/>
    <xf numFmtId="170" fontId="17" fillId="0" borderId="0" applyFont="0" applyFill="0" applyBorder="0" applyAlignment="0" applyProtection="0"/>
    <xf numFmtId="166" fontId="24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23" fillId="0" borderId="0" applyNumberFormat="0" applyFill="0" applyBorder="0" applyAlignment="0" applyProtection="0"/>
    <xf numFmtId="166" fontId="24" fillId="0" borderId="0"/>
    <xf numFmtId="166" fontId="24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70" fontId="17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1" fillId="0" borderId="0"/>
    <xf numFmtId="0" fontId="41" fillId="0" borderId="0"/>
    <xf numFmtId="0" fontId="42" fillId="0" borderId="0">
      <alignment vertical="top"/>
    </xf>
    <xf numFmtId="0" fontId="4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1" fillId="0" borderId="0"/>
    <xf numFmtId="0" fontId="4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7" fillId="0" borderId="0"/>
    <xf numFmtId="0" fontId="3" fillId="0" borderId="0"/>
    <xf numFmtId="0" fontId="17" fillId="0" borderId="0"/>
    <xf numFmtId="0" fontId="17" fillId="0" borderId="0"/>
    <xf numFmtId="0" fontId="43" fillId="0" borderId="0"/>
    <xf numFmtId="0" fontId="43" fillId="0" borderId="0"/>
    <xf numFmtId="0" fontId="17" fillId="0" borderId="0"/>
    <xf numFmtId="0" fontId="4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5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7" fillId="0" borderId="0"/>
    <xf numFmtId="0" fontId="43" fillId="0" borderId="0"/>
  </cellStyleXfs>
  <cellXfs count="54">
    <xf numFmtId="0" fontId="0" fillId="0" borderId="0" xfId="0"/>
    <xf numFmtId="0" fontId="1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0" fillId="37" borderId="0" xfId="0" applyFill="1"/>
    <xf numFmtId="14" fontId="0" fillId="37" borderId="0" xfId="0" applyNumberFormat="1" applyFill="1"/>
    <xf numFmtId="0" fontId="2" fillId="37" borderId="6" xfId="0" quotePrefix="1" applyFont="1" applyFill="1" applyBorder="1" applyAlignment="1">
      <alignment horizontal="center" wrapText="1"/>
    </xf>
    <xf numFmtId="0" fontId="0" fillId="37" borderId="6" xfId="0" applyFill="1" applyBorder="1" applyAlignment="1">
      <alignment horizontal="center" vertical="center" wrapText="1"/>
    </xf>
    <xf numFmtId="0" fontId="0" fillId="37" borderId="1" xfId="0" applyFill="1" applyBorder="1" applyAlignment="1">
      <alignment horizontal="center" vertical="center" wrapText="1"/>
    </xf>
    <xf numFmtId="0" fontId="2" fillId="37" borderId="9" xfId="0" quotePrefix="1" applyFont="1" applyFill="1" applyBorder="1" applyAlignment="1">
      <alignment horizontal="center" wrapText="1"/>
    </xf>
    <xf numFmtId="0" fontId="0" fillId="37" borderId="9" xfId="0" applyFill="1" applyBorder="1" applyAlignment="1">
      <alignment horizontal="center" vertical="center" wrapText="1"/>
    </xf>
    <xf numFmtId="0" fontId="0" fillId="37" borderId="7" xfId="0" applyFill="1" applyBorder="1" applyAlignment="1">
      <alignment horizontal="center" vertical="center" wrapText="1"/>
    </xf>
    <xf numFmtId="0" fontId="0" fillId="37" borderId="3" xfId="0" applyFill="1" applyBorder="1" applyAlignment="1">
      <alignment horizontal="center" vertical="center" wrapText="1"/>
    </xf>
    <xf numFmtId="0" fontId="0" fillId="38" borderId="0" xfId="0" applyFill="1"/>
    <xf numFmtId="14" fontId="0" fillId="38" borderId="0" xfId="0" applyNumberFormat="1" applyFill="1"/>
    <xf numFmtId="14" fontId="0" fillId="37" borderId="1" xfId="0" applyNumberFormat="1" applyFill="1" applyBorder="1"/>
    <xf numFmtId="0" fontId="2" fillId="38" borderId="6" xfId="0" quotePrefix="1" applyFont="1" applyFill="1" applyBorder="1" applyAlignment="1">
      <alignment horizontal="center" wrapText="1"/>
    </xf>
    <xf numFmtId="0" fontId="0" fillId="38" borderId="6" xfId="0" applyFill="1" applyBorder="1" applyAlignment="1">
      <alignment horizontal="center" vertical="center" wrapText="1"/>
    </xf>
    <xf numFmtId="0" fontId="0" fillId="38" borderId="1" xfId="0" applyFill="1" applyBorder="1" applyAlignment="1">
      <alignment horizontal="center" vertical="center" wrapText="1"/>
    </xf>
    <xf numFmtId="0" fontId="2" fillId="39" borderId="6" xfId="0" quotePrefix="1" applyFont="1" applyFill="1" applyBorder="1" applyAlignment="1">
      <alignment horizontal="center" wrapText="1"/>
    </xf>
    <xf numFmtId="0" fontId="0" fillId="39" borderId="6" xfId="0" applyFill="1" applyBorder="1" applyAlignment="1">
      <alignment horizontal="center" vertical="center" wrapText="1"/>
    </xf>
    <xf numFmtId="0" fontId="0" fillId="39" borderId="1" xfId="0" applyFill="1" applyBorder="1" applyAlignment="1">
      <alignment horizontal="center" vertical="center" wrapText="1"/>
    </xf>
    <xf numFmtId="14" fontId="0" fillId="39" borderId="0" xfId="0" applyNumberFormat="1" applyFill="1"/>
    <xf numFmtId="0" fontId="0" fillId="39" borderId="0" xfId="0" applyFill="1"/>
    <xf numFmtId="0" fontId="2" fillId="39" borderId="9" xfId="0" quotePrefix="1" applyFont="1" applyFill="1" applyBorder="1" applyAlignment="1">
      <alignment horizontal="center" wrapText="1"/>
    </xf>
    <xf numFmtId="0" fontId="0" fillId="39" borderId="7" xfId="0" applyFill="1" applyBorder="1" applyAlignment="1">
      <alignment horizontal="center" vertical="center" wrapText="1"/>
    </xf>
    <xf numFmtId="0" fontId="0" fillId="39" borderId="3" xfId="0" applyFill="1" applyBorder="1" applyAlignment="1">
      <alignment horizontal="center" vertical="center" wrapText="1"/>
    </xf>
    <xf numFmtId="0" fontId="0" fillId="39" borderId="22" xfId="0" applyFill="1" applyBorder="1"/>
    <xf numFmtId="0" fontId="0" fillId="39" borderId="4" xfId="0" applyFill="1" applyBorder="1"/>
    <xf numFmtId="14" fontId="0" fillId="39" borderId="4" xfId="0" applyNumberFormat="1" applyFill="1" applyBorder="1"/>
    <xf numFmtId="0" fontId="0" fillId="38" borderId="2" xfId="0" applyFill="1" applyBorder="1"/>
    <xf numFmtId="0" fontId="0" fillId="38" borderId="3" xfId="0" applyFill="1" applyBorder="1"/>
    <xf numFmtId="14" fontId="0" fillId="38" borderId="3" xfId="0" applyNumberFormat="1" applyFill="1" applyBorder="1"/>
    <xf numFmtId="0" fontId="2" fillId="37" borderId="7" xfId="0" quotePrefix="1" applyFont="1" applyFill="1" applyBorder="1" applyAlignment="1">
      <alignment horizontal="center" wrapText="1"/>
    </xf>
    <xf numFmtId="0" fontId="0" fillId="37" borderId="8" xfId="0" applyFill="1" applyBorder="1" applyAlignment="1">
      <alignment horizontal="center" vertical="center" wrapText="1"/>
    </xf>
    <xf numFmtId="0" fontId="0" fillId="37" borderId="23" xfId="0" applyFill="1" applyBorder="1"/>
    <xf numFmtId="0" fontId="0" fillId="37" borderId="1" xfId="0" applyFill="1" applyBorder="1"/>
    <xf numFmtId="2" fontId="0" fillId="37" borderId="7" xfId="0" applyNumberFormat="1" applyFill="1" applyBorder="1" applyAlignment="1">
      <alignment horizontal="center" vertical="center" wrapText="1"/>
    </xf>
    <xf numFmtId="2" fontId="0" fillId="37" borderId="1" xfId="0" applyNumberFormat="1" applyFill="1" applyBorder="1"/>
    <xf numFmtId="2" fontId="0" fillId="37" borderId="9" xfId="0" applyNumberFormat="1" applyFill="1" applyBorder="1" applyAlignment="1">
      <alignment horizontal="center" vertical="center" wrapText="1"/>
    </xf>
    <xf numFmtId="2" fontId="0" fillId="39" borderId="7" xfId="0" applyNumberFormat="1" applyFill="1" applyBorder="1" applyAlignment="1">
      <alignment horizontal="center" vertical="center" wrapText="1"/>
    </xf>
    <xf numFmtId="2" fontId="0" fillId="37" borderId="6" xfId="0" applyNumberFormat="1" applyFill="1" applyBorder="1" applyAlignment="1">
      <alignment horizontal="center" vertical="center" wrapText="1"/>
    </xf>
    <xf numFmtId="2" fontId="0" fillId="39" borderId="4" xfId="0" applyNumberFormat="1" applyFill="1" applyBorder="1"/>
    <xf numFmtId="0" fontId="0" fillId="39" borderId="24" xfId="0" applyFill="1" applyBorder="1"/>
    <xf numFmtId="0" fontId="0" fillId="39" borderId="25" xfId="0" applyFill="1" applyBorder="1"/>
    <xf numFmtId="0" fontId="0" fillId="39" borderId="26" xfId="0" applyFill="1" applyBorder="1"/>
    <xf numFmtId="0" fontId="0" fillId="39" borderId="27" xfId="0" applyFill="1" applyBorder="1"/>
    <xf numFmtId="0" fontId="0" fillId="39" borderId="1" xfId="0" applyFill="1" applyBorder="1"/>
    <xf numFmtId="0" fontId="0" fillId="39" borderId="28" xfId="0" applyFill="1" applyBorder="1"/>
    <xf numFmtId="0" fontId="0" fillId="39" borderId="29" xfId="0" applyFill="1" applyBorder="1"/>
    <xf numFmtId="0" fontId="0" fillId="39" borderId="30" xfId="0" applyFill="1" applyBorder="1"/>
    <xf numFmtId="0" fontId="0" fillId="39" borderId="31" xfId="0" applyFill="1" applyBorder="1"/>
  </cellXfs>
  <cellStyles count="1960">
    <cellStyle name="20 % - Accent1" xfId="16" builtinId="30" customBuiltin="1"/>
    <cellStyle name="20 % - Accent1 10" xfId="194" xr:uid="{D3443061-E921-412F-BF1B-4564752F86E3}"/>
    <cellStyle name="20 % - Accent1 10 2" xfId="1239" xr:uid="{3D7ECC2D-5AB2-4345-83C6-7DBFF9D22001}"/>
    <cellStyle name="20 % - Accent1 11" xfId="198" xr:uid="{2ABC84C3-AC67-4139-8F5F-7DE6CA149A97}"/>
    <cellStyle name="20 % - Accent1 11 2" xfId="1243" xr:uid="{7C570EAD-91B0-4ED6-94FC-5AFB432BBCBC}"/>
    <cellStyle name="20 % - Accent1 12" xfId="211" xr:uid="{B783E233-3E9A-4ACA-AE0A-556D01C144DA}"/>
    <cellStyle name="20 % - Accent1 12 2" xfId="1256" xr:uid="{327289AB-231C-4CA6-9DB8-F524735B6E63}"/>
    <cellStyle name="20 % - Accent1 13" xfId="223" xr:uid="{71583346-7D2F-4FE5-83D8-745E8018A3FB}"/>
    <cellStyle name="20 % - Accent1 13 2" xfId="1268" xr:uid="{70D4CCE0-5C92-4206-9DD3-33C3C7BD0DF1}"/>
    <cellStyle name="20 % - Accent1 14" xfId="273" xr:uid="{3F29143D-CCB8-4D1A-A78A-9CDE9950A624}"/>
    <cellStyle name="20 % - Accent1 14 2" xfId="1318" xr:uid="{0AB52BA5-97B8-4A6A-95FD-F92504F7F1B7}"/>
    <cellStyle name="20 % - Accent1 15" xfId="280" xr:uid="{2ABE751F-7C9C-49C2-A0B5-C55228BABA96}"/>
    <cellStyle name="20 % - Accent1 15 2" xfId="1325" xr:uid="{1050FD72-FF2E-4B07-8BA3-0E0813FDB9A2}"/>
    <cellStyle name="20 % - Accent1 16" xfId="279" xr:uid="{1924F04C-F398-4CFD-9602-E030463FA043}"/>
    <cellStyle name="20 % - Accent1 16 2" xfId="1324" xr:uid="{041C399C-019A-4EEF-9D34-6F9E9582B793}"/>
    <cellStyle name="20 % - Accent1 17" xfId="283" xr:uid="{AF0FF45E-D690-412D-B01B-E36CC994A001}"/>
    <cellStyle name="20 % - Accent1 17 2" xfId="1328" xr:uid="{883F91CE-5611-47EB-A62E-FA22FE92E2BD}"/>
    <cellStyle name="20 % - Accent1 18" xfId="296" xr:uid="{3FB48FE5-8F43-4BBE-AA10-068F0734A501}"/>
    <cellStyle name="20 % - Accent1 18 2" xfId="1341" xr:uid="{EE2C582D-3BF0-41CE-BBF4-23F109713BFB}"/>
    <cellStyle name="20 % - Accent1 19" xfId="309" xr:uid="{FF08C020-C0B0-4B5C-BDE7-DBCF44575C43}"/>
    <cellStyle name="20 % - Accent1 19 2" xfId="1354" xr:uid="{A654B996-0D43-4514-A2FF-4562C13D6AAF}"/>
    <cellStyle name="20 % - Accent1 2" xfId="101" xr:uid="{D20BAC9A-D28D-4D9C-85A3-C1E68DD69222}"/>
    <cellStyle name="20 % - Accent1 2 2" xfId="442" xr:uid="{5F214ABC-8CF9-4AB6-A677-FE5FC47E58D0}"/>
    <cellStyle name="20 % - Accent1 2 3" xfId="1146" xr:uid="{195DF9C7-A7AF-4E25-901C-7D6F395FE1A0}"/>
    <cellStyle name="20 % - Accent1 20" xfId="321" xr:uid="{75EF6EAB-55DE-48A8-BD4A-18EBF57CCFA4}"/>
    <cellStyle name="20 % - Accent1 20 2" xfId="1366" xr:uid="{F6A7D737-37A7-4593-90CC-79C6780EA44F}"/>
    <cellStyle name="20 % - Accent1 21" xfId="369" xr:uid="{E96658F7-0EBF-4CFD-B580-360E7B710817}"/>
    <cellStyle name="20 % - Accent1 21 2" xfId="1414" xr:uid="{CFC8F205-73C0-46F6-BBAC-69ABB48466E6}"/>
    <cellStyle name="20 % - Accent1 22" xfId="376" xr:uid="{B17D0520-81F2-4771-913B-0248654578DE}"/>
    <cellStyle name="20 % - Accent1 22 2" xfId="1421" xr:uid="{EEA94B2A-BBEB-4A2C-A898-B0D1BF0F422A}"/>
    <cellStyle name="20 % - Accent1 23" xfId="375" xr:uid="{AF6C1658-6E31-416D-90FC-07D4042687B6}"/>
    <cellStyle name="20 % - Accent1 23 2" xfId="1420" xr:uid="{3C13B7F8-6045-4318-B43E-5047C550E700}"/>
    <cellStyle name="20 % - Accent1 24" xfId="379" xr:uid="{17930419-42E1-4EAD-92B8-7D51A93E6E9A}"/>
    <cellStyle name="20 % - Accent1 24 2" xfId="1424" xr:uid="{85C67960-E8B8-4388-B04E-6F42E0DCB4FB}"/>
    <cellStyle name="20 % - Accent1 25" xfId="391" xr:uid="{09338500-8C69-4C61-B51C-DC6E99755BEA}"/>
    <cellStyle name="20 % - Accent1 25 2" xfId="1436" xr:uid="{D16D1F94-C3E4-48C2-A521-B51575E1397C}"/>
    <cellStyle name="20 % - Accent1 26" xfId="430" xr:uid="{53D65B1A-9227-4DE4-A3DB-8199FE259FC3}"/>
    <cellStyle name="20 % - Accent1 26 2" xfId="1475" xr:uid="{E2DFB642-4356-415D-B678-78997314D5D7}"/>
    <cellStyle name="20 % - Accent1 27" xfId="543" xr:uid="{C93D2AA6-1989-41D1-949D-6721687755E4}"/>
    <cellStyle name="20 % - Accent1 28" xfId="558" xr:uid="{3D85A1CC-8D82-45E3-BD45-C789F2F1FDC8}"/>
    <cellStyle name="20 % - Accent1 29" xfId="579" xr:uid="{762CC60B-8AFE-41C9-8A27-3D0486FC1C9E}"/>
    <cellStyle name="20 % - Accent1 3" xfId="108" xr:uid="{E598579D-163D-4E46-8BCF-B487B05AB8BD}"/>
    <cellStyle name="20 % - Accent1 3 2" xfId="1153" xr:uid="{CD345D8B-5513-46AB-BF57-E563A4F837FA}"/>
    <cellStyle name="20 % - Accent1 30" xfId="596" xr:uid="{67A4E38A-1487-4391-A1CA-811031E6D11F}"/>
    <cellStyle name="20 % - Accent1 31" xfId="613" xr:uid="{6A270BF2-A3CC-42F6-A24D-F931FB5A9321}"/>
    <cellStyle name="20 % - Accent1 32" xfId="631" xr:uid="{A84AF09D-601E-47DE-80E9-C4734D6B53AF}"/>
    <cellStyle name="20 % - Accent1 33" xfId="655" xr:uid="{A38070F2-12ED-482D-A9F8-9A9CBFC232F5}"/>
    <cellStyle name="20 % - Accent1 34" xfId="673" xr:uid="{8E646A7A-2760-4C7C-83BF-8ABFF9AA7C5B}"/>
    <cellStyle name="20 % - Accent1 35" xfId="696" xr:uid="{22B05DF0-0F40-4AF4-AD8A-4D7986F412CF}"/>
    <cellStyle name="20 % - Accent1 36" xfId="723" xr:uid="{9A9850BF-F5E8-46FC-8857-9BABAD6DB519}"/>
    <cellStyle name="20 % - Accent1 37" xfId="744" xr:uid="{896739A8-9D03-4E5F-A202-6281404DBBB9}"/>
    <cellStyle name="20 % - Accent1 38" xfId="768" xr:uid="{B651AC98-2EFA-4FC8-A8C8-26FBCE9FB32A}"/>
    <cellStyle name="20 % - Accent1 39" xfId="785" xr:uid="{6CC3529C-5EE7-4C0C-86FF-D79A74433961}"/>
    <cellStyle name="20 % - Accent1 4" xfId="107" xr:uid="{19F92E10-EF2E-4ADD-8591-C0314B706B9F}"/>
    <cellStyle name="20 % - Accent1 4 2" xfId="1152" xr:uid="{80EA7CD8-90FF-48B9-8696-BE0F05653761}"/>
    <cellStyle name="20 % - Accent1 40" xfId="808" xr:uid="{19A26F94-B46F-40D3-A969-3292CFEF27E6}"/>
    <cellStyle name="20 % - Accent1 41" xfId="828" xr:uid="{01070C71-170C-43D7-B4DF-98FCD9BB65BD}"/>
    <cellStyle name="20 % - Accent1 42" xfId="843" xr:uid="{EB8BA2C7-E1A6-4158-A988-22C47919827C}"/>
    <cellStyle name="20 % - Accent1 43" xfId="864" xr:uid="{12046AAB-E5D2-4831-BF21-7973F3DDE0F7}"/>
    <cellStyle name="20 % - Accent1 44" xfId="879" xr:uid="{5E80EFDF-8862-4DF0-9682-2B653CF6FC67}"/>
    <cellStyle name="20 % - Accent1 45" xfId="894" xr:uid="{6971DE74-14AF-4504-A4ED-80EF9F5E3EE0}"/>
    <cellStyle name="20 % - Accent1 46" xfId="908" xr:uid="{3F82CA8B-2105-4DE4-9386-FE637C6B1359}"/>
    <cellStyle name="20 % - Accent1 47" xfId="924" xr:uid="{D281BEBB-8046-4872-A952-7B9954B54C07}"/>
    <cellStyle name="20 % - Accent1 48" xfId="939" xr:uid="{DE45A6BA-3B14-4833-8B20-007997367244}"/>
    <cellStyle name="20 % - Accent1 49" xfId="957" xr:uid="{B3E85AB5-B747-4CB4-BA16-2269F089E94E}"/>
    <cellStyle name="20 % - Accent1 5" xfId="141" xr:uid="{AE5AE74D-AC4E-40ED-873F-F29412B242D6}"/>
    <cellStyle name="20 % - Accent1 5 2" xfId="1186" xr:uid="{70A0BD63-AB1A-4C57-9A32-7131B652E540}"/>
    <cellStyle name="20 % - Accent1 50" xfId="973" xr:uid="{94AB7ABD-44FD-46DB-9F9F-6EDE74C82FF0}"/>
    <cellStyle name="20 % - Accent1 51" xfId="988" xr:uid="{73E75506-2F4B-4437-ACFF-4423A4DD67D2}"/>
    <cellStyle name="20 % - Accent1 52" xfId="1005" xr:uid="{15BCCB59-6EF3-420B-A4E3-887B3DEB19AB}"/>
    <cellStyle name="20 % - Accent1 53" xfId="1021" xr:uid="{C5D0CA7C-E67C-430B-9F8C-BB99C482C317}"/>
    <cellStyle name="20 % - Accent1 54" xfId="1036" xr:uid="{0B25281D-AC6B-4FE4-9681-22AAA37C451E}"/>
    <cellStyle name="20 % - Accent1 55" xfId="1055" xr:uid="{8FBD58EB-B9FC-4D15-958C-7C4A5A78896B}"/>
    <cellStyle name="20 % - Accent1 56" xfId="1073" xr:uid="{0027765F-8C67-4829-9510-9C82919B561F}"/>
    <cellStyle name="20 % - Accent1 57" xfId="1092" xr:uid="{D8413811-9995-47BF-9582-67FF8E77FF43}"/>
    <cellStyle name="20 % - Accent1 6" xfId="112" xr:uid="{6839F230-B146-44B8-B831-DAF376366DCE}"/>
    <cellStyle name="20 % - Accent1 6 2" xfId="1157" xr:uid="{0247F7AE-F304-48A8-9B4B-896AFAB879D2}"/>
    <cellStyle name="20 % - Accent1 7" xfId="162" xr:uid="{423AB8E3-C72D-40C1-923A-28E358EC6331}"/>
    <cellStyle name="20 % - Accent1 7 2" xfId="1207" xr:uid="{385C3B6B-BF5E-4AF2-9D18-29E5861E6D40}"/>
    <cellStyle name="20 % - Accent1 8" xfId="188" xr:uid="{A6EB47BE-6F8B-491B-A280-3A4013D0435F}"/>
    <cellStyle name="20 % - Accent1 8 2" xfId="1233" xr:uid="{3F281978-215B-40CD-85B6-135058C8B22C}"/>
    <cellStyle name="20 % - Accent1 9" xfId="195" xr:uid="{D059DD64-4DD9-4555-883C-E8BE0BCC908A}"/>
    <cellStyle name="20 % - Accent1 9 2" xfId="1240" xr:uid="{252767DD-6DFE-461C-993A-6C8EC5136374}"/>
    <cellStyle name="20 % - Accent2" xfId="19" builtinId="34" customBuiltin="1"/>
    <cellStyle name="20 % - Accent2 10" xfId="218" xr:uid="{2B667857-C1C0-4178-A45A-31BBC4806C0D}"/>
    <cellStyle name="20 % - Accent2 10 2" xfId="1263" xr:uid="{16E25DB2-17E1-4588-AA73-8E84F83A14FE}"/>
    <cellStyle name="20 % - Accent2 11" xfId="230" xr:uid="{1DF1EC98-DE10-4CE2-A5A8-207792517FAF}"/>
    <cellStyle name="20 % - Accent2 11 2" xfId="1275" xr:uid="{9771FCDB-5C3B-47CF-94A8-E2139A13CD12}"/>
    <cellStyle name="20 % - Accent2 12" xfId="240" xr:uid="{BD1DCEF6-3F42-40D7-9132-73888BDCCA56}"/>
    <cellStyle name="20 % - Accent2 12 2" xfId="1285" xr:uid="{36D6BBAF-E2FE-4A81-9189-46A14659255D}"/>
    <cellStyle name="20 % - Accent2 13" xfId="250" xr:uid="{33F1573B-30A5-425F-BF32-F9FB4298D75B}"/>
    <cellStyle name="20 % - Accent2 13 2" xfId="1295" xr:uid="{41518969-6D99-444F-A302-08919B2A2CDC}"/>
    <cellStyle name="20 % - Accent2 14" xfId="277" xr:uid="{2A59443E-B197-4192-A16A-66DD3BF55307}"/>
    <cellStyle name="20 % - Accent2 14 2" xfId="1322" xr:uid="{F7352296-31E7-4669-A322-E9310525E610}"/>
    <cellStyle name="20 % - Accent2 15" xfId="290" xr:uid="{2E8E7BF7-9376-415F-B2EE-C1AC35142AE1}"/>
    <cellStyle name="20 % - Accent2 15 2" xfId="1335" xr:uid="{1CD17FE9-B5B1-4E36-A9F7-CDF882906E21}"/>
    <cellStyle name="20 % - Accent2 16" xfId="303" xr:uid="{2BBDFA82-AD8D-416A-96A2-728B82D10242}"/>
    <cellStyle name="20 % - Accent2 16 2" xfId="1348" xr:uid="{DAEA3447-20AA-4845-93AA-9A34F0E20ED8}"/>
    <cellStyle name="20 % - Accent2 17" xfId="316" xr:uid="{E3F7951B-BFD3-4D4F-B7AA-2DFBFC01178F}"/>
    <cellStyle name="20 % - Accent2 17 2" xfId="1361" xr:uid="{A01C1E2A-C79B-43FA-A45C-136FD5CE8998}"/>
    <cellStyle name="20 % - Accent2 18" xfId="328" xr:uid="{95970D9F-A861-4E65-92A2-DB64D2DD6FA5}"/>
    <cellStyle name="20 % - Accent2 18 2" xfId="1373" xr:uid="{B0D62C3E-8AB6-41E5-92B4-A55AD53EFC90}"/>
    <cellStyle name="20 % - Accent2 19" xfId="338" xr:uid="{A9584D35-4DD8-43ED-A80F-138199DEBEAB}"/>
    <cellStyle name="20 % - Accent2 19 2" xfId="1383" xr:uid="{868E454A-2967-4655-B652-FF1AB1827CAC}"/>
    <cellStyle name="20 % - Accent2 2" xfId="105" xr:uid="{2FE11D36-CD2E-4D93-B799-353A976D398D}"/>
    <cellStyle name="20 % - Accent2 2 2" xfId="443" xr:uid="{8851D8DF-3C62-46A3-9534-30340E53537E}"/>
    <cellStyle name="20 % - Accent2 2 3" xfId="1150" xr:uid="{8717C2BC-5408-4FF7-BC3D-2E7D3320BB85}"/>
    <cellStyle name="20 % - Accent2 20" xfId="348" xr:uid="{536F59CA-ACE4-4B18-8904-2CCAEDDE38A1}"/>
    <cellStyle name="20 % - Accent2 20 2" xfId="1393" xr:uid="{89B17128-E741-4267-8460-CDA3253CDEDE}"/>
    <cellStyle name="20 % - Accent2 21" xfId="373" xr:uid="{10911B89-49B4-43DA-9323-0B3379CB738B}"/>
    <cellStyle name="20 % - Accent2 21 2" xfId="1418" xr:uid="{9EE5AF12-6BCA-4929-80B8-5AC630FF6683}"/>
    <cellStyle name="20 % - Accent2 22" xfId="386" xr:uid="{29507106-0B86-48ED-A7BE-94C40B15CAD7}"/>
    <cellStyle name="20 % - Accent2 22 2" xfId="1431" xr:uid="{A0C0F181-A5E8-4CD9-8B0A-5F3C65503C19}"/>
    <cellStyle name="20 % - Accent2 23" xfId="398" xr:uid="{7EA6C4AE-3433-47E5-B92E-628BC3FF99C0}"/>
    <cellStyle name="20 % - Accent2 23 2" xfId="1443" xr:uid="{D846C096-3C95-49B4-8E0D-ABAF6C17466D}"/>
    <cellStyle name="20 % - Accent2 24" xfId="408" xr:uid="{6E289215-88DF-426F-A11D-8A4442E9F5F2}"/>
    <cellStyle name="20 % - Accent2 24 2" xfId="1453" xr:uid="{C51E9A1C-2527-4F9B-88A4-5397FE842D44}"/>
    <cellStyle name="20 % - Accent2 25" xfId="418" xr:uid="{6CDC3636-A1E3-4E28-BC5C-24AE2B835400}"/>
    <cellStyle name="20 % - Accent2 25 2" xfId="1463" xr:uid="{762A041E-E4FB-468D-88BF-763773B6AB55}"/>
    <cellStyle name="20 % - Accent2 26" xfId="432" xr:uid="{E3B54F17-488E-4FD9-A387-B915BE76E2E9}"/>
    <cellStyle name="20 % - Accent2 26 2" xfId="1477" xr:uid="{055611B9-7649-43F2-BE35-334FA8C73306}"/>
    <cellStyle name="20 % - Accent2 27" xfId="545" xr:uid="{ACAA6F60-1AD0-4412-873A-1610787959C7}"/>
    <cellStyle name="20 % - Accent2 28" xfId="560" xr:uid="{33867603-07B8-4CFF-B5AA-D3BB82BC3B24}"/>
    <cellStyle name="20 % - Accent2 29" xfId="581" xr:uid="{3D4C6814-05A8-4FF7-8EC6-8FAF25EF09F9}"/>
    <cellStyle name="20 % - Accent2 3" xfId="118" xr:uid="{1DBA201C-6588-472C-8703-55CA8564465C}"/>
    <cellStyle name="20 % - Accent2 3 2" xfId="1163" xr:uid="{DB791B25-8196-408C-A1B0-15675CFB6424}"/>
    <cellStyle name="20 % - Accent2 30" xfId="598" xr:uid="{DFEE570F-EC97-40EA-8421-9679FEFDFB8C}"/>
    <cellStyle name="20 % - Accent2 31" xfId="615" xr:uid="{722D99E9-1FB0-4318-A01B-3D3B3767B4B4}"/>
    <cellStyle name="20 % - Accent2 32" xfId="633" xr:uid="{3E0FE27F-93B3-4CD9-835C-A34EEF2A734A}"/>
    <cellStyle name="20 % - Accent2 33" xfId="657" xr:uid="{413A414D-2699-4854-AEC7-F4C191F01BCE}"/>
    <cellStyle name="20 % - Accent2 34" xfId="676" xr:uid="{BF54CB13-AA8B-4133-A1B4-C198F32747C3}"/>
    <cellStyle name="20 % - Accent2 35" xfId="698" xr:uid="{154175A5-98B3-428A-AD48-FB5A1CA396CB}"/>
    <cellStyle name="20 % - Accent2 36" xfId="725" xr:uid="{5328ECB2-59B3-4D46-B38B-C54865326E75}"/>
    <cellStyle name="20 % - Accent2 37" xfId="746" xr:uid="{DE9C6490-4782-41A8-B4BE-7264DF4A5F8E}"/>
    <cellStyle name="20 % - Accent2 38" xfId="770" xr:uid="{F7CDE0F6-57E2-4982-BBF4-B1EC04569FF4}"/>
    <cellStyle name="20 % - Accent2 39" xfId="787" xr:uid="{4D36FFF0-6C0E-43CA-9B32-999CF8C7E48E}"/>
    <cellStyle name="20 % - Accent2 4" xfId="128" xr:uid="{379D5A8A-2779-4278-BB22-87EA21D43C0E}"/>
    <cellStyle name="20 % - Accent2 4 2" xfId="1173" xr:uid="{29F4F60F-2D9F-487C-A6FC-019980F27795}"/>
    <cellStyle name="20 % - Accent2 40" xfId="810" xr:uid="{16F85D95-C8B5-40EE-A687-80FDD4A9A566}"/>
    <cellStyle name="20 % - Accent2 41" xfId="830" xr:uid="{CF88C880-F10F-45EF-8D65-EB0B6B31E583}"/>
    <cellStyle name="20 % - Accent2 42" xfId="845" xr:uid="{E8653F9B-15D8-4025-A1DE-D6D9139D7528}"/>
    <cellStyle name="20 % - Accent2 43" xfId="866" xr:uid="{14E86A45-6080-4E2C-B366-9667DD85AD9C}"/>
    <cellStyle name="20 % - Accent2 44" xfId="881" xr:uid="{10E7B78A-3E0D-43E6-9C06-CABA8C73FA1B}"/>
    <cellStyle name="20 % - Accent2 45" xfId="896" xr:uid="{20D90B0D-674F-4F2D-AEA8-739D19E180EC}"/>
    <cellStyle name="20 % - Accent2 46" xfId="910" xr:uid="{94768A9B-C300-4115-92D2-64B40968581C}"/>
    <cellStyle name="20 % - Accent2 47" xfId="926" xr:uid="{CFB8C9C9-19E0-4557-8D89-C18D18F4CD5E}"/>
    <cellStyle name="20 % - Accent2 48" xfId="941" xr:uid="{088F75E1-89C8-4993-B776-4E12E0A882F9}"/>
    <cellStyle name="20 % - Accent2 49" xfId="959" xr:uid="{D850918F-43CB-4120-937C-53EAB125F8F3}"/>
    <cellStyle name="20 % - Accent2 5" xfId="145" xr:uid="{5E7852E5-1838-43B3-B81F-1AD9FF9C40F7}"/>
    <cellStyle name="20 % - Accent2 5 2" xfId="1190" xr:uid="{72276563-12B2-4700-A66E-148924AC3136}"/>
    <cellStyle name="20 % - Accent2 50" xfId="975" xr:uid="{0AAB9F52-432B-40E7-801C-48EF6C2A29DC}"/>
    <cellStyle name="20 % - Accent2 51" xfId="991" xr:uid="{76121117-2722-4C72-A43B-BF1F5356435D}"/>
    <cellStyle name="20 % - Accent2 52" xfId="1007" xr:uid="{F3CD4390-C6E1-4240-BADB-E7999029E5D4}"/>
    <cellStyle name="20 % - Accent2 53" xfId="1023" xr:uid="{098DB82D-BA02-40BA-9620-A4886730F705}"/>
    <cellStyle name="20 % - Accent2 54" xfId="1038" xr:uid="{E984E1F9-791D-4342-BD7A-31E0F982EE1E}"/>
    <cellStyle name="20 % - Accent2 55" xfId="1057" xr:uid="{A791A843-CF03-4E12-BD24-AE8A2616761B}"/>
    <cellStyle name="20 % - Accent2 56" xfId="1075" xr:uid="{D664CC8C-AC01-40DC-87D6-126D52FC1513}"/>
    <cellStyle name="20 % - Accent2 57" xfId="1094" xr:uid="{2D90BD79-C2CA-41A8-9327-2A4EB1D244CF}"/>
    <cellStyle name="20 % - Accent2 6" xfId="150" xr:uid="{F4A1869F-B0BD-43C9-9A80-AD61EC91B976}"/>
    <cellStyle name="20 % - Accent2 6 2" xfId="1195" xr:uid="{6E5055F9-ECA7-4923-9D62-9B629811878A}"/>
    <cellStyle name="20 % - Accent2 7" xfId="172" xr:uid="{05D1F137-996D-42B9-ABB2-3482E2F50966}"/>
    <cellStyle name="20 % - Accent2 7 2" xfId="1217" xr:uid="{F345B845-D9CD-4D19-9E4C-08D7BF0C3CF6}"/>
    <cellStyle name="20 % - Accent2 8" xfId="192" xr:uid="{1410EB70-CD12-4562-88B2-A5ADBD5B84D2}"/>
    <cellStyle name="20 % - Accent2 8 2" xfId="1237" xr:uid="{AA4A130A-ABD8-4BA0-A4F6-DE268D65C551}"/>
    <cellStyle name="20 % - Accent2 9" xfId="205" xr:uid="{5768F547-7210-48E0-8C1D-5440958C558E}"/>
    <cellStyle name="20 % - Accent2 9 2" xfId="1250" xr:uid="{2C0D4C2A-4E5A-42C5-A9B6-922C0C5EBB49}"/>
    <cellStyle name="20 % - Accent3" xfId="22" builtinId="38" customBuiltin="1"/>
    <cellStyle name="20 % - Accent3 10" xfId="187" xr:uid="{124927E5-E02E-4E4F-9E59-DEE693CE3F02}"/>
    <cellStyle name="20 % - Accent3 10 2" xfId="1232" xr:uid="{C4767519-BEF9-4704-B339-84E8EC1395BF}"/>
    <cellStyle name="20 % - Accent3 11" xfId="199" xr:uid="{2E19D412-ADA3-4D83-B4B5-10AEA1B38FAE}"/>
    <cellStyle name="20 % - Accent3 11 2" xfId="1244" xr:uid="{FC37E541-9005-4203-8DAD-4959D629B258}"/>
    <cellStyle name="20 % - Accent3 12" xfId="212" xr:uid="{033E5000-BC27-4C96-9C72-7ADFF1F427DD}"/>
    <cellStyle name="20 % - Accent3 12 2" xfId="1257" xr:uid="{567138B1-B0F4-4163-9815-16B7E84A401E}"/>
    <cellStyle name="20 % - Accent3 13" xfId="224" xr:uid="{2FBF320B-4085-483D-9A18-5BE7DFED5D38}"/>
    <cellStyle name="20 % - Accent3 13 2" xfId="1269" xr:uid="{012037D8-FF57-45B1-823D-6193580C74E8}"/>
    <cellStyle name="20 % - Accent3 14" xfId="281" xr:uid="{DFAE4FE0-9F7B-4539-99CE-CDB5B40CA816}"/>
    <cellStyle name="20 % - Accent3 14 2" xfId="1326" xr:uid="{17C1E109-F834-4C52-877E-BBE6551CBCD6}"/>
    <cellStyle name="20 % - Accent3 15" xfId="275" xr:uid="{E53BB99A-7919-4D24-814A-52F4BF34043C}"/>
    <cellStyle name="20 % - Accent3 15 2" xfId="1320" xr:uid="{B8C4E60F-6203-4DAD-B85C-2E52E9F183C3}"/>
    <cellStyle name="20 % - Accent3 16" xfId="272" xr:uid="{C114BB42-2543-4E8D-A3F0-091ECE0BBADF}"/>
    <cellStyle name="20 % - Accent3 16 2" xfId="1317" xr:uid="{286B38A1-5272-4317-A55C-EB4A825B49C9}"/>
    <cellStyle name="20 % - Accent3 17" xfId="284" xr:uid="{27BE90E8-3C9E-4C32-829D-5460FF1EF8D5}"/>
    <cellStyle name="20 % - Accent3 17 2" xfId="1329" xr:uid="{86A449AB-050D-4597-B673-1EBA6A619E14}"/>
    <cellStyle name="20 % - Accent3 18" xfId="297" xr:uid="{F5E19707-9600-485C-A384-8DEB404EAF38}"/>
    <cellStyle name="20 % - Accent3 18 2" xfId="1342" xr:uid="{31F41C5F-3B90-442B-81C6-82B8F4BCD36B}"/>
    <cellStyle name="20 % - Accent3 19" xfId="310" xr:uid="{5893D90F-57EC-4A81-B9AF-817B376E9ED2}"/>
    <cellStyle name="20 % - Accent3 19 2" xfId="1355" xr:uid="{9E25FFE8-76DB-45ED-A3FF-9CA14D586FF5}"/>
    <cellStyle name="20 % - Accent3 2" xfId="109" xr:uid="{4A623C0A-78EB-402A-BED8-981B8D3F47F8}"/>
    <cellStyle name="20 % - Accent3 2 2" xfId="444" xr:uid="{83CCD16E-262B-4B4E-955A-DD6D3952E1C3}"/>
    <cellStyle name="20 % - Accent3 2 3" xfId="1154" xr:uid="{9D784CDE-E0B5-49C8-B8E6-7FEBFB886622}"/>
    <cellStyle name="20 % - Accent3 20" xfId="322" xr:uid="{38611AEA-2165-40A8-BAF8-2523693BDE24}"/>
    <cellStyle name="20 % - Accent3 20 2" xfId="1367" xr:uid="{6C4CE39A-7058-450C-9A29-5FC7B9906622}"/>
    <cellStyle name="20 % - Accent3 21" xfId="377" xr:uid="{C2AB53A5-E28C-44CF-B6EB-868D41E7DE9B}"/>
    <cellStyle name="20 % - Accent3 21 2" xfId="1422" xr:uid="{1A33462A-0143-4987-813F-2698BACFCAE9}"/>
    <cellStyle name="20 % - Accent3 22" xfId="371" xr:uid="{4291033B-E955-44D5-9CE3-F0A880E31420}"/>
    <cellStyle name="20 % - Accent3 22 2" xfId="1416" xr:uid="{09BFA968-9DCC-4F10-BA54-93D5524C5C1D}"/>
    <cellStyle name="20 % - Accent3 23" xfId="368" xr:uid="{13C062F4-39FE-4A3E-A5CF-D739FD434965}"/>
    <cellStyle name="20 % - Accent3 23 2" xfId="1413" xr:uid="{14D519A7-D303-48CB-B36D-6B9A8F0372E8}"/>
    <cellStyle name="20 % - Accent3 24" xfId="380" xr:uid="{294ABF6E-E791-4CFB-903A-2B54490DC59B}"/>
    <cellStyle name="20 % - Accent3 24 2" xfId="1425" xr:uid="{9A339A8F-12DD-4613-A40E-B0B0756AB937}"/>
    <cellStyle name="20 % - Accent3 25" xfId="392" xr:uid="{63D05A06-1E2E-4CB1-B284-C7F01C255272}"/>
    <cellStyle name="20 % - Accent3 25 2" xfId="1437" xr:uid="{8AE813A3-2330-4393-A8DC-DE0E6C901705}"/>
    <cellStyle name="20 % - Accent3 26" xfId="434" xr:uid="{F5442DE5-112E-4AB4-8A62-318BE547CC47}"/>
    <cellStyle name="20 % - Accent3 26 2" xfId="1479" xr:uid="{985B94E8-03AE-44BC-8FBC-2A09BFDA00F6}"/>
    <cellStyle name="20 % - Accent3 27" xfId="547" xr:uid="{39B7826C-50DA-4C58-92AC-6D3656A39E83}"/>
    <cellStyle name="20 % - Accent3 28" xfId="562" xr:uid="{785D24E7-8D22-4700-B77A-D7A9A93A5A07}"/>
    <cellStyle name="20 % - Accent3 29" xfId="584" xr:uid="{37003B19-65C3-450E-9598-6660ADFE5AC5}"/>
    <cellStyle name="20 % - Accent3 3" xfId="103" xr:uid="{C9C7F977-2AB0-4509-8768-FE0FC4D74EC2}"/>
    <cellStyle name="20 % - Accent3 3 2" xfId="1148" xr:uid="{B470FE4A-59FF-4C5A-BDC0-92C0380FEEAC}"/>
    <cellStyle name="20 % - Accent3 30" xfId="600" xr:uid="{E90952C3-56C1-4093-AAB2-1D0B116F0A7E}"/>
    <cellStyle name="20 % - Accent3 31" xfId="617" xr:uid="{0F284F05-FD19-490B-BBBE-471461AC2AD1}"/>
    <cellStyle name="20 % - Accent3 32" xfId="635" xr:uid="{037DA500-2E74-44F6-9574-81833DA7FCD0}"/>
    <cellStyle name="20 % - Accent3 33" xfId="659" xr:uid="{4F1A3ECF-AD4D-4FE6-878C-61D226FFC678}"/>
    <cellStyle name="20 % - Accent3 34" xfId="678" xr:uid="{456D18BE-4363-4F59-AAFE-633237DE217B}"/>
    <cellStyle name="20 % - Accent3 35" xfId="700" xr:uid="{FB8D42C1-AC1D-458C-81B4-D79EC395CC97}"/>
    <cellStyle name="20 % - Accent3 36" xfId="727" xr:uid="{C93916DF-1BAF-4CF7-A44F-E55FECFFFE64}"/>
    <cellStyle name="20 % - Accent3 37" xfId="748" xr:uid="{AED84E66-57E6-4524-B635-B5DA4B06CB68}"/>
    <cellStyle name="20 % - Accent3 38" xfId="772" xr:uid="{75983185-9412-4EB4-B021-EB35B4175B72}"/>
    <cellStyle name="20 % - Accent3 39" xfId="789" xr:uid="{2676875D-6EC9-4340-BA52-50D519B19EE3}"/>
    <cellStyle name="20 % - Accent3 4" xfId="100" xr:uid="{06D5D08A-8568-44F2-9C29-E89889B765E8}"/>
    <cellStyle name="20 % - Accent3 4 2" xfId="1145" xr:uid="{711C6789-7E2E-4DE6-9815-16173412F1EA}"/>
    <cellStyle name="20 % - Accent3 40" xfId="813" xr:uid="{0B318D83-E843-474C-8A3C-A74D55FB7FA1}"/>
    <cellStyle name="20 % - Accent3 41" xfId="832" xr:uid="{FEFD6232-FE0B-44D0-9D6C-825D4CAD4FEF}"/>
    <cellStyle name="20 % - Accent3 42" xfId="847" xr:uid="{614E2F7E-69D5-4A68-B876-28886674F79A}"/>
    <cellStyle name="20 % - Accent3 43" xfId="868" xr:uid="{6311CCD9-2415-4F0A-99BE-7C90205CBA27}"/>
    <cellStyle name="20 % - Accent3 44" xfId="883" xr:uid="{CE00EBDD-EAD2-4275-8D83-7A570CA04B40}"/>
    <cellStyle name="20 % - Accent3 45" xfId="898" xr:uid="{0A9A78B2-EF70-402F-9B9A-9CDF7D697D8A}"/>
    <cellStyle name="20 % - Accent3 46" xfId="912" xr:uid="{CDEF8526-5F59-47FC-A817-CA9C0348E077}"/>
    <cellStyle name="20 % - Accent3 47" xfId="928" xr:uid="{477719F5-E4DB-4D6D-B9C3-3BBDA678DFF9}"/>
    <cellStyle name="20 % - Accent3 48" xfId="943" xr:uid="{C32BF5DA-B188-45D3-856F-3A04F4C0CCCA}"/>
    <cellStyle name="20 % - Accent3 49" xfId="961" xr:uid="{1FDD4D7F-526C-45C2-AD72-1DDF95C4A781}"/>
    <cellStyle name="20 % - Accent3 5" xfId="148" xr:uid="{F210F632-3137-4D21-9EF3-74F6BBA4D062}"/>
    <cellStyle name="20 % - Accent3 5 2" xfId="1193" xr:uid="{9E325321-F72E-408F-BDAD-9E903B2FD141}"/>
    <cellStyle name="20 % - Accent3 50" xfId="977" xr:uid="{D1D0A7D6-216E-475B-85CB-891EDF12992E}"/>
    <cellStyle name="20 % - Accent3 51" xfId="993" xr:uid="{3EC3F38C-C6A6-48A3-A931-E2AB3B2D1A72}"/>
    <cellStyle name="20 % - Accent3 52" xfId="1009" xr:uid="{977899BC-C1F1-46D8-97EE-42BFFBF5C760}"/>
    <cellStyle name="20 % - Accent3 53" xfId="1025" xr:uid="{1D57A28D-4B6D-4BB5-B697-4A569FA1F4FE}"/>
    <cellStyle name="20 % - Accent3 54" xfId="1040" xr:uid="{581A7D61-812D-4EB2-B2E9-4F451166D4C4}"/>
    <cellStyle name="20 % - Accent3 55" xfId="1059" xr:uid="{5E887C19-C16E-452C-B4F9-BE34340A73DB}"/>
    <cellStyle name="20 % - Accent3 56" xfId="1078" xr:uid="{783B15E1-FD80-436A-AC67-7387F757B629}"/>
    <cellStyle name="20 % - Accent3 57" xfId="1096" xr:uid="{BEF56959-9525-4CFC-BF7F-A394AE19077A}"/>
    <cellStyle name="20 % - Accent3 6" xfId="163" xr:uid="{D1918D71-2807-43D5-A7DE-648F5E874419}"/>
    <cellStyle name="20 % - Accent3 6 2" xfId="1208" xr:uid="{02E43522-DA3B-4B3F-9780-3EF2E679DBB0}"/>
    <cellStyle name="20 % - Accent3 7" xfId="157" xr:uid="{D47BAA39-FD87-4FBC-A870-7CCCE5A2C5D0}"/>
    <cellStyle name="20 % - Accent3 7 2" xfId="1202" xr:uid="{D19DCB14-D5F4-4237-88D6-235976E9AF67}"/>
    <cellStyle name="20 % - Accent3 8" xfId="196" xr:uid="{E4972517-F478-47BB-AB80-ED3A9904ABDF}"/>
    <cellStyle name="20 % - Accent3 8 2" xfId="1241" xr:uid="{C2C92D7D-C8A3-4385-9ADE-9E9D3F63A136}"/>
    <cellStyle name="20 % - Accent3 9" xfId="190" xr:uid="{2AD4488B-5554-4430-8EDA-0DED02322148}"/>
    <cellStyle name="20 % - Accent3 9 2" xfId="1235" xr:uid="{DF553786-A896-4E35-9BE0-757076037960}"/>
    <cellStyle name="20 % - Accent4" xfId="25" builtinId="42" customBuiltin="1"/>
    <cellStyle name="20 % - Accent4 10" xfId="225" xr:uid="{166D7030-E93C-4B6F-8A22-C42351563DCC}"/>
    <cellStyle name="20 % - Accent4 10 2" xfId="1270" xr:uid="{A7BAC560-C318-443E-9783-3F28D14D6A87}"/>
    <cellStyle name="20 % - Accent4 11" xfId="235" xr:uid="{E2137761-FB25-4414-922B-BFE7CEABB714}"/>
    <cellStyle name="20 % - Accent4 11 2" xfId="1280" xr:uid="{A76D1E88-0218-4DDB-878C-7E48E486CBC6}"/>
    <cellStyle name="20 % - Accent4 12" xfId="245" xr:uid="{5951596E-65BD-44F8-AFFF-4F53098E7D91}"/>
    <cellStyle name="20 % - Accent4 12 2" xfId="1290" xr:uid="{6EAF24F5-E8A8-472C-899B-9D6CA5858D1C}"/>
    <cellStyle name="20 % - Accent4 13" xfId="254" xr:uid="{AEA2B736-89DE-459E-A859-986384CD90D5}"/>
    <cellStyle name="20 % - Accent4 13 2" xfId="1299" xr:uid="{BE57C86B-6D93-4EF9-BEBF-EC1FC3C0C55E}"/>
    <cellStyle name="20 % - Accent4 14" xfId="285" xr:uid="{3DAFD273-AEFB-46D0-B978-6A57244B6600}"/>
    <cellStyle name="20 % - Accent4 14 2" xfId="1330" xr:uid="{53DB1975-E6F4-40F0-9260-5609E4E63EEF}"/>
    <cellStyle name="20 % - Accent4 15" xfId="298" xr:uid="{9FF6983A-DB8D-420E-B05A-4220EA8F6D4C}"/>
    <cellStyle name="20 % - Accent4 15 2" xfId="1343" xr:uid="{4F59C267-7F3A-4A4E-A5EE-03AEE3BCEE4C}"/>
    <cellStyle name="20 % - Accent4 16" xfId="311" xr:uid="{53615B63-51AB-4D56-99C3-BBB2E0E72D15}"/>
    <cellStyle name="20 % - Accent4 16 2" xfId="1356" xr:uid="{438D9B1C-4869-47DF-8431-B45C5337CECC}"/>
    <cellStyle name="20 % - Accent4 17" xfId="323" xr:uid="{B19E4AB2-2D34-4FA2-9C09-865B4A239846}"/>
    <cellStyle name="20 % - Accent4 17 2" xfId="1368" xr:uid="{E6EE608D-434D-463E-B7F0-F53D2432ABD5}"/>
    <cellStyle name="20 % - Accent4 18" xfId="333" xr:uid="{9C4344BB-B693-48B7-AD29-636C2FC86291}"/>
    <cellStyle name="20 % - Accent4 18 2" xfId="1378" xr:uid="{69F8B224-1E3D-4418-B796-93DC6B8D0085}"/>
    <cellStyle name="20 % - Accent4 19" xfId="343" xr:uid="{0F2E32CB-FB2A-43A7-AFAE-03C636F89AD8}"/>
    <cellStyle name="20 % - Accent4 19 2" xfId="1388" xr:uid="{56E1EF6F-F8F1-4C80-95FE-DA9E78E05A0E}"/>
    <cellStyle name="20 % - Accent4 2" xfId="113" xr:uid="{9FE641FB-90A9-4FCA-967E-F9AACC14231D}"/>
    <cellStyle name="20 % - Accent4 2 2" xfId="445" xr:uid="{98034B1C-81B3-494B-9689-362F53154A57}"/>
    <cellStyle name="20 % - Accent4 2 3" xfId="1158" xr:uid="{05E94485-14A2-4765-B402-4A15D0A69277}"/>
    <cellStyle name="20 % - Accent4 20" xfId="352" xr:uid="{42D0029C-A8E5-416D-8E7C-E92122B5818D}"/>
    <cellStyle name="20 % - Accent4 20 2" xfId="1397" xr:uid="{B7F8BE48-E33F-42AF-B60D-38F246AFB9BF}"/>
    <cellStyle name="20 % - Accent4 21" xfId="381" xr:uid="{FE4A9F20-650A-4F06-A1AF-A531DC457F26}"/>
    <cellStyle name="20 % - Accent4 21 2" xfId="1426" xr:uid="{EED2FEB4-EB97-4828-85DF-6C572347EA8C}"/>
    <cellStyle name="20 % - Accent4 22" xfId="393" xr:uid="{29B5C547-F69A-4C8E-A4D3-E563F732D30E}"/>
    <cellStyle name="20 % - Accent4 22 2" xfId="1438" xr:uid="{27F8E168-F7BC-465B-8369-61A7E8CFE346}"/>
    <cellStyle name="20 % - Accent4 23" xfId="403" xr:uid="{5B80B53C-D6B6-4189-8206-1E322CC76880}"/>
    <cellStyle name="20 % - Accent4 23 2" xfId="1448" xr:uid="{B4AB00C1-1D17-4D1B-A11D-956F29AE779E}"/>
    <cellStyle name="20 % - Accent4 24" xfId="413" xr:uid="{67A45D57-5D33-4D3F-9E35-22C0E313CA58}"/>
    <cellStyle name="20 % - Accent4 24 2" xfId="1458" xr:uid="{F6425D52-7641-4DF5-ADCD-FFFA2D55D72C}"/>
    <cellStyle name="20 % - Accent4 25" xfId="422" xr:uid="{48FCA58C-BB8D-4C80-9AB5-884A64E1B9A1}"/>
    <cellStyle name="20 % - Accent4 25 2" xfId="1467" xr:uid="{908C092B-C540-43AF-A83C-605AE061D3DA}"/>
    <cellStyle name="20 % - Accent4 26" xfId="436" xr:uid="{837477D5-05E9-4E59-806E-8F4A8A84B1CF}"/>
    <cellStyle name="20 % - Accent4 26 2" xfId="1481" xr:uid="{AC887B08-4B86-4D64-AAF6-ED4265F9A86A}"/>
    <cellStyle name="20 % - Accent4 27" xfId="549" xr:uid="{17C5AC16-ED5E-4142-9BC5-E691EFA688A3}"/>
    <cellStyle name="20 % - Accent4 28" xfId="564" xr:uid="{C2838AA8-F8EC-4952-8CF5-2D8A75A64BD9}"/>
    <cellStyle name="20 % - Accent4 29" xfId="586" xr:uid="{25E6F8BC-40A6-4A44-A1BB-3241238E2825}"/>
    <cellStyle name="20 % - Accent4 3" xfId="123" xr:uid="{A4922A59-A201-4F18-A83E-F2BEA4610824}"/>
    <cellStyle name="20 % - Accent4 3 2" xfId="1168" xr:uid="{2C4B96A4-4EA2-4B1B-8A1E-92AD1E1816C7}"/>
    <cellStyle name="20 % - Accent4 30" xfId="602" xr:uid="{4D2D8791-0A8D-41BC-83FF-B12EBD6810BC}"/>
    <cellStyle name="20 % - Accent4 31" xfId="619" xr:uid="{9A4ADEA3-7CBB-42A1-92A3-315DAB4F83B6}"/>
    <cellStyle name="20 % - Accent4 32" xfId="637" xr:uid="{EA71BD52-BBE3-4D8B-A42A-509AC10670EE}"/>
    <cellStyle name="20 % - Accent4 33" xfId="661" xr:uid="{02EC64FD-9D9C-403F-9DA6-30ED0BCD9AF0}"/>
    <cellStyle name="20 % - Accent4 34" xfId="680" xr:uid="{C8F30346-469C-4BDC-BEF2-77BA27B30D24}"/>
    <cellStyle name="20 % - Accent4 35" xfId="702" xr:uid="{71C824A7-AE43-42B2-A726-CB583D0B02A1}"/>
    <cellStyle name="20 % - Accent4 36" xfId="729" xr:uid="{8236FFE7-9769-4A03-8B2A-EEB193BBA3A8}"/>
    <cellStyle name="20 % - Accent4 37" xfId="751" xr:uid="{9B0251DE-3A71-4A8C-8A58-15BD6C050B15}"/>
    <cellStyle name="20 % - Accent4 38" xfId="774" xr:uid="{169E56EA-CC66-4008-B834-C01BC81FB189}"/>
    <cellStyle name="20 % - Accent4 39" xfId="791" xr:uid="{485CDCB9-DBF3-4142-A5AF-B7249A0040E4}"/>
    <cellStyle name="20 % - Accent4 4" xfId="132" xr:uid="{A8B9BE5A-23FE-4745-96AC-5B59C3C353EE}"/>
    <cellStyle name="20 % - Accent4 4 2" xfId="1177" xr:uid="{62984415-9E52-4502-8275-E8B5D0791BE8}"/>
    <cellStyle name="20 % - Accent4 40" xfId="815" xr:uid="{3BE021B3-2099-4489-8E63-2937F0B27E1A}"/>
    <cellStyle name="20 % - Accent4 41" xfId="834" xr:uid="{112602EF-0BE7-449A-BE48-377815B32E8D}"/>
    <cellStyle name="20 % - Accent4 42" xfId="849" xr:uid="{41924E70-A106-4C1B-91A1-564733EF32A8}"/>
    <cellStyle name="20 % - Accent4 43" xfId="870" xr:uid="{AF336DE2-8AD3-45BB-AEC9-17302197D6F8}"/>
    <cellStyle name="20 % - Accent4 44" xfId="885" xr:uid="{B0FA334F-EAAB-49C8-8B49-37C6F7330B4F}"/>
    <cellStyle name="20 % - Accent4 45" xfId="900" xr:uid="{D1A40795-ED57-4DB4-847A-C90FB2BC6623}"/>
    <cellStyle name="20 % - Accent4 46" xfId="914" xr:uid="{EEC0E2A0-4B81-4074-BEDD-4552AD7BF124}"/>
    <cellStyle name="20 % - Accent4 47" xfId="930" xr:uid="{A3479354-4917-4DFD-BB85-E43C81668BF3}"/>
    <cellStyle name="20 % - Accent4 48" xfId="945" xr:uid="{AD04ADA1-3223-47C2-AD6F-97685B2B78D8}"/>
    <cellStyle name="20 % - Accent4 49" xfId="963" xr:uid="{4146BF7E-AC1D-444B-991B-5EF156218701}"/>
    <cellStyle name="20 % - Accent4 5" xfId="151" xr:uid="{AB8A2E57-AAC7-4329-801A-AB8FA3D6C13E}"/>
    <cellStyle name="20 % - Accent4 5 2" xfId="1196" xr:uid="{57C46889-99B7-42F1-9B1B-46A24B9AE8F8}"/>
    <cellStyle name="20 % - Accent4 50" xfId="979" xr:uid="{67B7C73F-E2E7-4786-9D10-2A8C4216A63F}"/>
    <cellStyle name="20 % - Accent4 51" xfId="995" xr:uid="{EDD05D3D-C8F7-4075-A570-D8527B36D714}"/>
    <cellStyle name="20 % - Accent4 52" xfId="1011" xr:uid="{84153337-D883-4C48-9183-19972D071FCB}"/>
    <cellStyle name="20 % - Accent4 53" xfId="1027" xr:uid="{F3484097-3549-45E0-88B8-AFAB7CCD9937}"/>
    <cellStyle name="20 % - Accent4 54" xfId="1042" xr:uid="{3A9C0085-BD53-4E5B-A819-4A9605EB391B}"/>
    <cellStyle name="20 % - Accent4 55" xfId="1061" xr:uid="{04A93F86-08C6-47B1-8569-CCB3E76F5079}"/>
    <cellStyle name="20 % - Accent4 56" xfId="1080" xr:uid="{4D846C9B-D9C8-4BD7-BBE2-441D52386EAA}"/>
    <cellStyle name="20 % - Accent4 57" xfId="1098" xr:uid="{16CDB045-2E53-46E5-8416-F9D116121659}"/>
    <cellStyle name="20 % - Accent4 6" xfId="167" xr:uid="{294B9045-BAC0-4F2A-B3C6-097D9824474F}"/>
    <cellStyle name="20 % - Accent4 6 2" xfId="1212" xr:uid="{FEAD192B-82A8-4D43-8FB8-FD1D9949E23F}"/>
    <cellStyle name="20 % - Accent4 7" xfId="178" xr:uid="{DD9B3B04-6AEA-45F1-B957-9CED43E0D14B}"/>
    <cellStyle name="20 % - Accent4 7 2" xfId="1223" xr:uid="{F636A81E-8705-44F2-A86B-35BC1539A195}"/>
    <cellStyle name="20 % - Accent4 8" xfId="200" xr:uid="{9CFEB725-CCF1-4B07-9E41-38417CF3F4AC}"/>
    <cellStyle name="20 % - Accent4 8 2" xfId="1245" xr:uid="{75D3A54C-2F8B-4179-A2C1-33D976377586}"/>
    <cellStyle name="20 % - Accent4 9" xfId="213" xr:uid="{517E2D23-AEE1-4331-9D45-2679119DA951}"/>
    <cellStyle name="20 % - Accent4 9 2" xfId="1258" xr:uid="{2571D265-CE9E-4912-98ED-96D64713CBBC}"/>
    <cellStyle name="20 % - Accent5" xfId="28" builtinId="46" customBuiltin="1"/>
    <cellStyle name="20 % - Accent5 10" xfId="228" xr:uid="{6F6EF6AF-E23D-440C-9F95-6EF53DA31FD4}"/>
    <cellStyle name="20 % - Accent5 10 2" xfId="1273" xr:uid="{F1DD355B-0608-434B-9E60-8229AE7847D3}"/>
    <cellStyle name="20 % - Accent5 11" xfId="238" xr:uid="{3DFB53BF-356F-4559-A6B2-E692C9489841}"/>
    <cellStyle name="20 % - Accent5 11 2" xfId="1283" xr:uid="{C4CB9881-9E31-4F68-8A5D-C56FFED307B5}"/>
    <cellStyle name="20 % - Accent5 12" xfId="248" xr:uid="{A84FE7CB-09EB-4261-BEB0-5400DC0B412A}"/>
    <cellStyle name="20 % - Accent5 12 2" xfId="1293" xr:uid="{B3154E4B-0F9E-4239-98F3-BBD7CA524BAC}"/>
    <cellStyle name="20 % - Accent5 13" xfId="256" xr:uid="{E89BC62F-FC4F-4E32-ADFF-CA9E2FDC1AC3}"/>
    <cellStyle name="20 % - Accent5 13 2" xfId="1301" xr:uid="{92BB2B05-4016-4680-9F14-3A2D8FA18C47}"/>
    <cellStyle name="20 % - Accent5 14" xfId="288" xr:uid="{6250A4B1-0FC4-4B75-A51B-6B439283FE3A}"/>
    <cellStyle name="20 % - Accent5 14 2" xfId="1333" xr:uid="{1AA529B6-1236-4297-AF15-E479FC7FA655}"/>
    <cellStyle name="20 % - Accent5 15" xfId="301" xr:uid="{01633611-0CF3-4A73-B1A7-58F447EA5214}"/>
    <cellStyle name="20 % - Accent5 15 2" xfId="1346" xr:uid="{F3F3E69D-1C00-4BFA-8113-8DAB3EAD1D10}"/>
    <cellStyle name="20 % - Accent5 16" xfId="314" xr:uid="{E59C274C-44E1-4F05-84C3-05C8F4D19DA6}"/>
    <cellStyle name="20 % - Accent5 16 2" xfId="1359" xr:uid="{12325E0B-7EAB-4F39-8A47-DA494801701C}"/>
    <cellStyle name="20 % - Accent5 17" xfId="326" xr:uid="{30E708D9-CF6D-4C5A-9FF2-1899A9AF8202}"/>
    <cellStyle name="20 % - Accent5 17 2" xfId="1371" xr:uid="{633C0695-F5AC-48BA-BCC5-F277E5566455}"/>
    <cellStyle name="20 % - Accent5 18" xfId="336" xr:uid="{C3F89F02-31C0-4198-BC2A-DF3EFB472548}"/>
    <cellStyle name="20 % - Accent5 18 2" xfId="1381" xr:uid="{53E14D05-A3BB-4B63-B4BA-276268A1CA6A}"/>
    <cellStyle name="20 % - Accent5 19" xfId="346" xr:uid="{9C3CE39E-4597-4FEF-B930-1730964360DE}"/>
    <cellStyle name="20 % - Accent5 19 2" xfId="1391" xr:uid="{B8F76FBB-CFCE-4D2B-BD83-AD7BFCD3D8DF}"/>
    <cellStyle name="20 % - Accent5 2" xfId="116" xr:uid="{B79E3F25-76F8-4795-8976-0766B5B16ED1}"/>
    <cellStyle name="20 % - Accent5 2 2" xfId="446" xr:uid="{147B7104-2308-4078-A54D-B399326BBDA1}"/>
    <cellStyle name="20 % - Accent5 2 3" xfId="1161" xr:uid="{CF67DDA0-AB01-4905-84C4-8F86568A77F2}"/>
    <cellStyle name="20 % - Accent5 20" xfId="354" xr:uid="{2C2267F8-98B7-486F-9397-1B6F555481F6}"/>
    <cellStyle name="20 % - Accent5 20 2" xfId="1399" xr:uid="{1F814B85-BF0D-4DDE-B4C4-3112F98001DA}"/>
    <cellStyle name="20 % - Accent5 21" xfId="384" xr:uid="{82150902-F6D0-438F-B260-D86D645C6D56}"/>
    <cellStyle name="20 % - Accent5 21 2" xfId="1429" xr:uid="{FDC611B0-A5A4-43EF-9472-997ABB7F987F}"/>
    <cellStyle name="20 % - Accent5 22" xfId="396" xr:uid="{E733663C-D0B3-4CBF-A2EB-1D5A8C5278A0}"/>
    <cellStyle name="20 % - Accent5 22 2" xfId="1441" xr:uid="{4294FF9F-1391-40D1-B112-A376EAB1CE63}"/>
    <cellStyle name="20 % - Accent5 23" xfId="406" xr:uid="{F5BA70DE-8073-4641-AD12-E935286C054A}"/>
    <cellStyle name="20 % - Accent5 23 2" xfId="1451" xr:uid="{F670ECAF-2F94-44B8-A2B0-8B530DB4F263}"/>
    <cellStyle name="20 % - Accent5 24" xfId="416" xr:uid="{9896C5BD-BDE0-4D1C-9CD2-E7E44EB266D5}"/>
    <cellStyle name="20 % - Accent5 24 2" xfId="1461" xr:uid="{E762E734-71B7-44BF-89BB-1B5113C31117}"/>
    <cellStyle name="20 % - Accent5 25" xfId="424" xr:uid="{725789DA-439C-4F3E-97C9-6304E4056EF9}"/>
    <cellStyle name="20 % - Accent5 25 2" xfId="1469" xr:uid="{58CBF140-05D1-4754-B555-4F837C9351BA}"/>
    <cellStyle name="20 % - Accent5 26" xfId="438" xr:uid="{9C6ED58A-62D7-46B2-9060-072C1A881CE5}"/>
    <cellStyle name="20 % - Accent5 26 2" xfId="1483" xr:uid="{66F36420-071E-4AC1-96DC-3DC3D702B527}"/>
    <cellStyle name="20 % - Accent5 27" xfId="551" xr:uid="{70A4190B-32CC-469D-95ED-0598A682A12C}"/>
    <cellStyle name="20 % - Accent5 28" xfId="566" xr:uid="{F9A0AF1A-FE01-4783-8E7F-8FFC9CB00BDE}"/>
    <cellStyle name="20 % - Accent5 29" xfId="588" xr:uid="{AE8AAF6D-962D-4B6A-A3E0-00E8DCB5DFCB}"/>
    <cellStyle name="20 % - Accent5 3" xfId="126" xr:uid="{960AE31B-2451-44AE-87E8-044E54592BA7}"/>
    <cellStyle name="20 % - Accent5 3 2" xfId="1171" xr:uid="{A60551B2-6150-4C90-B5CF-CAD527FD70AB}"/>
    <cellStyle name="20 % - Accent5 30" xfId="604" xr:uid="{97E63119-D5AC-466B-BCA7-15BAC85D3D79}"/>
    <cellStyle name="20 % - Accent5 31" xfId="621" xr:uid="{57D3ABC5-3F1B-4FCF-A8B9-78A50E70970E}"/>
    <cellStyle name="20 % - Accent5 32" xfId="639" xr:uid="{E874EC75-A0E5-45E8-A6FA-7F5A1E1988FA}"/>
    <cellStyle name="20 % - Accent5 33" xfId="663" xr:uid="{950B1733-5106-434A-8C76-8827AA2FE3C2}"/>
    <cellStyle name="20 % - Accent5 34" xfId="683" xr:uid="{4F006F67-7FD4-40DE-A95D-55A982AC7604}"/>
    <cellStyle name="20 % - Accent5 35" xfId="704" xr:uid="{A0059199-7594-4AF0-B72E-D7A7AC379832}"/>
    <cellStyle name="20 % - Accent5 36" xfId="731" xr:uid="{F675B94D-3CCB-4125-AF5A-6E97C8498F12}"/>
    <cellStyle name="20 % - Accent5 37" xfId="754" xr:uid="{DCCCF9BF-A3D3-47B7-B816-EB1069E24BC5}"/>
    <cellStyle name="20 % - Accent5 38" xfId="776" xr:uid="{42209F6D-7689-4246-9B10-2D053A6A6036}"/>
    <cellStyle name="20 % - Accent5 39" xfId="793" xr:uid="{37DAF2F7-9C34-4B36-B91D-C20C48686AEE}"/>
    <cellStyle name="20 % - Accent5 4" xfId="135" xr:uid="{6B14CBEC-89BF-4630-9827-710BAD7D18D7}"/>
    <cellStyle name="20 % - Accent5 4 2" xfId="1180" xr:uid="{C554BB7E-9C07-4EC1-A2DC-807D87162F7D}"/>
    <cellStyle name="20 % - Accent5 40" xfId="817" xr:uid="{FE185D76-3AE7-4B2C-9FBE-52335416E2CE}"/>
    <cellStyle name="20 % - Accent5 41" xfId="836" xr:uid="{041B9C35-3B92-44E3-8FEF-1B7365AD3868}"/>
    <cellStyle name="20 % - Accent5 42" xfId="851" xr:uid="{C4386A60-38AF-4A6B-AA0C-E89E4F2248B8}"/>
    <cellStyle name="20 % - Accent5 43" xfId="872" xr:uid="{42767E73-1E1E-4CD3-9AF8-5B07A4E72745}"/>
    <cellStyle name="20 % - Accent5 44" xfId="887" xr:uid="{EF639F49-FDE0-44E6-97A5-797C8B4B035D}"/>
    <cellStyle name="20 % - Accent5 45" xfId="902" xr:uid="{1C8AB2AF-5B6B-4078-9821-C0BD6372AAD4}"/>
    <cellStyle name="20 % - Accent5 46" xfId="916" xr:uid="{38C0FB19-09B5-4436-A5C8-3528468E41C5}"/>
    <cellStyle name="20 % - Accent5 47" xfId="932" xr:uid="{85F46505-F499-46C3-855A-2241C0CDF993}"/>
    <cellStyle name="20 % - Accent5 48" xfId="947" xr:uid="{91BB67F1-8134-4313-88B6-F652EFE67FAE}"/>
    <cellStyle name="20 % - Accent5 49" xfId="965" xr:uid="{F278F04C-03CF-4459-8907-9E99EF42E014}"/>
    <cellStyle name="20 % - Accent5 5" xfId="155" xr:uid="{D6DCC230-3BDD-4762-A841-61A2B18D62A8}"/>
    <cellStyle name="20 % - Accent5 5 2" xfId="1200" xr:uid="{8E304ABA-2B42-4665-8EA1-0C311E4AE1E2}"/>
    <cellStyle name="20 % - Accent5 50" xfId="981" xr:uid="{73856132-451B-4F57-AC8C-5F4DB47A5C6D}"/>
    <cellStyle name="20 % - Accent5 51" xfId="997" xr:uid="{D36B5EE5-AC26-405A-B151-D6A92F09848A}"/>
    <cellStyle name="20 % - Accent5 52" xfId="1013" xr:uid="{5F0BE12B-6E3F-481E-8B30-D647F477D6FF}"/>
    <cellStyle name="20 % - Accent5 53" xfId="1029" xr:uid="{0EB699B8-4B5A-41D8-9F07-0DBBB39B8004}"/>
    <cellStyle name="20 % - Accent5 54" xfId="1044" xr:uid="{8FB17BC9-4AD5-4E6D-A79C-4BA23529C3AC}"/>
    <cellStyle name="20 % - Accent5 55" xfId="1063" xr:uid="{EAA8B6D5-0C56-4C39-9AED-0F46201D122B}"/>
    <cellStyle name="20 % - Accent5 56" xfId="1082" xr:uid="{338DD981-0D5E-41B3-86A1-F3EF85AB54F8}"/>
    <cellStyle name="20 % - Accent5 57" xfId="1100" xr:uid="{2982B1EA-50DF-44EE-A484-FBADDB8374DA}"/>
    <cellStyle name="20 % - Accent5 6" xfId="170" xr:uid="{910D79F5-5355-43D8-92DF-4219A8EC4540}"/>
    <cellStyle name="20 % - Accent5 6 2" xfId="1215" xr:uid="{4F4F77BA-D91F-4115-95A2-EA8C3F64FF91}"/>
    <cellStyle name="20 % - Accent5 7" xfId="181" xr:uid="{B0CF07B7-342A-422D-A281-2D8F86DA9925}"/>
    <cellStyle name="20 % - Accent5 7 2" xfId="1226" xr:uid="{2938D496-6C23-4A8D-9B1F-D3B971C065A7}"/>
    <cellStyle name="20 % - Accent5 8" xfId="203" xr:uid="{F42A5C1F-9B76-4B0C-8A9A-F98BEECBBEB7}"/>
    <cellStyle name="20 % - Accent5 8 2" xfId="1248" xr:uid="{62C774AB-3E15-4BDA-A66B-AA3C7F6E9D0A}"/>
    <cellStyle name="20 % - Accent5 9" xfId="216" xr:uid="{2F47751C-D16C-4662-8C2A-63E625021E3F}"/>
    <cellStyle name="20 % - Accent5 9 2" xfId="1261" xr:uid="{1A9BDE61-DC84-4883-B82C-05B48828D3D9}"/>
    <cellStyle name="20 % - Accent6" xfId="31" builtinId="50" customBuiltin="1"/>
    <cellStyle name="20 % - Accent6 10" xfId="231" xr:uid="{E8B265B3-7376-4E86-93B4-A6DFF7A38558}"/>
    <cellStyle name="20 % - Accent6 10 2" xfId="1276" xr:uid="{3EE494C3-314A-4BC6-A966-F6B613C96138}"/>
    <cellStyle name="20 % - Accent6 11" xfId="241" xr:uid="{439596E1-2E79-4EC2-BDD0-DDC8C3FB72EF}"/>
    <cellStyle name="20 % - Accent6 11 2" xfId="1286" xr:uid="{357B2E1D-DCD8-480E-9450-E445E207F971}"/>
    <cellStyle name="20 % - Accent6 12" xfId="251" xr:uid="{B9B5064C-D91F-46C6-9E3B-11627FD566BF}"/>
    <cellStyle name="20 % - Accent6 12 2" xfId="1296" xr:uid="{AE27B978-EE54-4CF2-99B8-92ADCD7FDD3F}"/>
    <cellStyle name="20 % - Accent6 13" xfId="258" xr:uid="{AB3FF21C-5957-4ABC-8B0B-F720939DF0B1}"/>
    <cellStyle name="20 % - Accent6 13 2" xfId="1303" xr:uid="{20B78105-2A43-48C8-AF67-A7B78231054E}"/>
    <cellStyle name="20 % - Accent6 14" xfId="292" xr:uid="{B14E9571-B98E-4FA4-A8DE-1CE87C0A696F}"/>
    <cellStyle name="20 % - Accent6 14 2" xfId="1337" xr:uid="{AAB9D270-B7FB-461C-B8F6-D40BC1C6E7CC}"/>
    <cellStyle name="20 % - Accent6 15" xfId="305" xr:uid="{AA77A0AA-DA8C-45A9-856A-A1F3D0F3913E}"/>
    <cellStyle name="20 % - Accent6 15 2" xfId="1350" xr:uid="{28B1AEED-B3B6-4EFB-8254-E9B3906DEBA7}"/>
    <cellStyle name="20 % - Accent6 16" xfId="317" xr:uid="{7A335CD5-9405-4451-B97F-DFE6A80665B1}"/>
    <cellStyle name="20 % - Accent6 16 2" xfId="1362" xr:uid="{F1F8FD71-7E7C-4B85-8E98-1CF4CB41F634}"/>
    <cellStyle name="20 % - Accent6 17" xfId="329" xr:uid="{5EA477AA-1348-41EF-8D87-7573C439B102}"/>
    <cellStyle name="20 % - Accent6 17 2" xfId="1374" xr:uid="{AE8E35E9-E5D1-4B41-AB98-A2D9C99FB9DF}"/>
    <cellStyle name="20 % - Accent6 18" xfId="339" xr:uid="{34C4FE49-B8E0-4C69-9024-1CD42EC1636A}"/>
    <cellStyle name="20 % - Accent6 18 2" xfId="1384" xr:uid="{577DFC58-6CFC-4F27-A39F-14F714BE6B88}"/>
    <cellStyle name="20 % - Accent6 19" xfId="349" xr:uid="{8FA4AA1E-CCFD-461E-AF48-CE516A6B8B4C}"/>
    <cellStyle name="20 % - Accent6 19 2" xfId="1394" xr:uid="{751E30A2-95BF-4027-9282-686D4FE6D889}"/>
    <cellStyle name="20 % - Accent6 2" xfId="119" xr:uid="{8C695328-30A2-4804-A4D4-976BD127E2BC}"/>
    <cellStyle name="20 % - Accent6 2 2" xfId="447" xr:uid="{013FA157-D135-403A-B6F5-4824EE9A12B8}"/>
    <cellStyle name="20 % - Accent6 2 3" xfId="1164" xr:uid="{6C09AD04-7258-4FBD-A319-DCAEB8678A8B}"/>
    <cellStyle name="20 % - Accent6 20" xfId="356" xr:uid="{6DEECB0A-ACC2-4760-B50C-D50045D68F70}"/>
    <cellStyle name="20 % - Accent6 20 2" xfId="1401" xr:uid="{C0A5B1CE-1246-4B8F-A951-48194E8C15F7}"/>
    <cellStyle name="20 % - Accent6 21" xfId="387" xr:uid="{60CD08FE-66F1-4C3F-B625-70BDD43489C1}"/>
    <cellStyle name="20 % - Accent6 21 2" xfId="1432" xr:uid="{AABAD2C8-2E34-4BF2-807C-754469A2BE33}"/>
    <cellStyle name="20 % - Accent6 22" xfId="399" xr:uid="{DD1E0527-56BC-4AE7-A9CA-94CF9A651538}"/>
    <cellStyle name="20 % - Accent6 22 2" xfId="1444" xr:uid="{004EE86C-40B8-4C0E-8669-2C4C5C001749}"/>
    <cellStyle name="20 % - Accent6 23" xfId="409" xr:uid="{0AE8CD72-873E-41E5-87F7-5996FBB766B2}"/>
    <cellStyle name="20 % - Accent6 23 2" xfId="1454" xr:uid="{DBD4DE84-FA08-4FA3-AC53-F310A8A911A8}"/>
    <cellStyle name="20 % - Accent6 24" xfId="419" xr:uid="{BA96F8FE-C3B8-4109-80E1-DB6E887B8F70}"/>
    <cellStyle name="20 % - Accent6 24 2" xfId="1464" xr:uid="{2957FCF7-B0D9-47ED-8036-D9EFEE5C2EBB}"/>
    <cellStyle name="20 % - Accent6 25" xfId="426" xr:uid="{F84141EB-B4AE-44A7-B23B-F06B8150044C}"/>
    <cellStyle name="20 % - Accent6 25 2" xfId="1471" xr:uid="{0133DF84-F383-4C3F-9303-9AD7B3A96B79}"/>
    <cellStyle name="20 % - Accent6 26" xfId="440" xr:uid="{3D9314A2-1104-4081-B11B-E78B3C7E126E}"/>
    <cellStyle name="20 % - Accent6 26 2" xfId="1485" xr:uid="{E6A43211-616B-452C-BB1C-5FE1B7B67A55}"/>
    <cellStyle name="20 % - Accent6 27" xfId="553" xr:uid="{904B2D91-6DB7-4EA9-94B9-EE9DDC3AAC4C}"/>
    <cellStyle name="20 % - Accent6 28" xfId="568" xr:uid="{EDE656BA-4ED3-4B43-8028-CC8F57D9CE41}"/>
    <cellStyle name="20 % - Accent6 29" xfId="590" xr:uid="{01357B76-CFA5-4CD5-A71B-06668ED95E2D}"/>
    <cellStyle name="20 % - Accent6 3" xfId="129" xr:uid="{56ACBD3D-E9CE-47DE-890F-F2445E3446F7}"/>
    <cellStyle name="20 % - Accent6 3 2" xfId="1174" xr:uid="{7222F375-9D1F-4F58-BD59-87981DF1076F}"/>
    <cellStyle name="20 % - Accent6 30" xfId="606" xr:uid="{01A678DF-442F-4F13-BAC6-D62A0E2FCE08}"/>
    <cellStyle name="20 % - Accent6 31" xfId="623" xr:uid="{195C050C-7A5D-4606-9775-C430C513C6D3}"/>
    <cellStyle name="20 % - Accent6 32" xfId="641" xr:uid="{B457CC72-5089-4C1A-9E42-F479B5A6B468}"/>
    <cellStyle name="20 % - Accent6 33" xfId="665" xr:uid="{A65D9071-E3DA-438F-92C1-32DEACCE2F13}"/>
    <cellStyle name="20 % - Accent6 34" xfId="686" xr:uid="{43C96587-7FD2-4ECD-BD74-CBC2A060227F}"/>
    <cellStyle name="20 % - Accent6 35" xfId="706" xr:uid="{65EB1D99-484A-4554-9929-AA3E48EC3350}"/>
    <cellStyle name="20 % - Accent6 36" xfId="734" xr:uid="{2C6F5923-ECEA-410A-9FC8-191E8CAF6B46}"/>
    <cellStyle name="20 % - Accent6 37" xfId="756" xr:uid="{645B2175-2B82-404E-B3CA-34619DCBD19A}"/>
    <cellStyle name="20 % - Accent6 38" xfId="779" xr:uid="{D0644AE8-D3CD-4540-9814-B0B97705C07C}"/>
    <cellStyle name="20 % - Accent6 39" xfId="795" xr:uid="{5D39E531-85B6-4F77-BF63-A93871F0A9C7}"/>
    <cellStyle name="20 % - Accent6 4" xfId="139" xr:uid="{CC6950D3-CC60-41E6-B283-0AFE76E5D7EE}"/>
    <cellStyle name="20 % - Accent6 4 2" xfId="1184" xr:uid="{6EF8471B-2467-496E-A684-E37C06FB5798}"/>
    <cellStyle name="20 % - Accent6 40" xfId="819" xr:uid="{0D237001-5DF5-47E7-9E8E-7B376AC23264}"/>
    <cellStyle name="20 % - Accent6 41" xfId="838" xr:uid="{2331BA95-4722-447E-94D3-25E64C412EFB}"/>
    <cellStyle name="20 % - Accent6 42" xfId="853" xr:uid="{9A0D82F5-63E5-4CF3-AB12-C750DAD775A5}"/>
    <cellStyle name="20 % - Accent6 43" xfId="874" xr:uid="{A612AB94-3833-41FA-8CD8-A3390E381AB1}"/>
    <cellStyle name="20 % - Accent6 44" xfId="889" xr:uid="{C52CC5F7-588E-468D-91EF-9F69B6A16D23}"/>
    <cellStyle name="20 % - Accent6 45" xfId="904" xr:uid="{D8F6D744-CC70-4AA8-9D60-0D67C6703061}"/>
    <cellStyle name="20 % - Accent6 46" xfId="918" xr:uid="{4871BB66-EB50-401E-AB07-F80511545840}"/>
    <cellStyle name="20 % - Accent6 47" xfId="934" xr:uid="{F1FE0000-2316-44E8-96B9-E5A6371BB787}"/>
    <cellStyle name="20 % - Accent6 48" xfId="949" xr:uid="{A122474C-CC15-44D3-9F30-40B82F39F9CE}"/>
    <cellStyle name="20 % - Accent6 49" xfId="967" xr:uid="{216C541A-A386-4F22-85C3-61ACDA7B633E}"/>
    <cellStyle name="20 % - Accent6 5" xfId="159" xr:uid="{59181C9A-986F-4D51-BC3A-B56A7E27F15A}"/>
    <cellStyle name="20 % - Accent6 5 2" xfId="1204" xr:uid="{1616F9D0-C410-49DA-89C7-E1547C9F4541}"/>
    <cellStyle name="20 % - Accent6 50" xfId="983" xr:uid="{5D2B93C6-8C61-402E-8786-8C421A2DA2AD}"/>
    <cellStyle name="20 % - Accent6 51" xfId="999" xr:uid="{4ACB27BB-E4C9-462E-B0B6-4F9E34EADADC}"/>
    <cellStyle name="20 % - Accent6 52" xfId="1015" xr:uid="{04216CC9-ADD0-45F8-96A3-2CC99CF7936B}"/>
    <cellStyle name="20 % - Accent6 53" xfId="1031" xr:uid="{487FDD2E-20A4-4149-8F12-30D65AA3B60B}"/>
    <cellStyle name="20 % - Accent6 54" xfId="1046" xr:uid="{CD82F2AE-C19A-4EBD-8D50-F4D126CFD411}"/>
    <cellStyle name="20 % - Accent6 55" xfId="1065" xr:uid="{AA837CF7-9F28-4048-AACF-F8B8E467DA57}"/>
    <cellStyle name="20 % - Accent6 56" xfId="1084" xr:uid="{A6C89890-9E37-408F-A8C1-DAF5BA795FCD}"/>
    <cellStyle name="20 % - Accent6 57" xfId="1102" xr:uid="{CE07CC84-D9D4-459F-9712-CBB5ECB0903C}"/>
    <cellStyle name="20 % - Accent6 6" xfId="173" xr:uid="{99095D85-237C-4616-868F-1AB1036A0103}"/>
    <cellStyle name="20 % - Accent6 6 2" xfId="1218" xr:uid="{AD504E5C-1CBA-4B76-8E35-120628107FFB}"/>
    <cellStyle name="20 % - Accent6 7" xfId="184" xr:uid="{C2C6D0BD-9A02-4BB1-8FA6-2C0EF46573FA}"/>
    <cellStyle name="20 % - Accent6 7 2" xfId="1229" xr:uid="{21921CB6-5ACC-427B-BA84-829B0529796F}"/>
    <cellStyle name="20 % - Accent6 8" xfId="207" xr:uid="{13F166EC-6009-4ACD-9DE0-640D3799D2D3}"/>
    <cellStyle name="20 % - Accent6 8 2" xfId="1252" xr:uid="{C6526929-211E-4773-832C-4825EFAC7D89}"/>
    <cellStyle name="20 % - Accent6 9" xfId="219" xr:uid="{B422A15E-C81D-497D-9CCF-9AF6FC86F1B5}"/>
    <cellStyle name="20 % - Accent6 9 2" xfId="1264" xr:uid="{C0AB90E4-DBA4-49E4-A284-3E6E094DCA1B}"/>
    <cellStyle name="40 % - Accent1" xfId="17" builtinId="31" customBuiltin="1"/>
    <cellStyle name="40 % - Accent1 10" xfId="209" xr:uid="{173EBA02-61DF-4F37-B66C-864F29251B84}"/>
    <cellStyle name="40 % - Accent1 10 2" xfId="1254" xr:uid="{B122EB60-E74F-42B1-8D71-CAC5CABE8387}"/>
    <cellStyle name="40 % - Accent1 11" xfId="221" xr:uid="{05E0B80A-180E-4B0C-92E6-FBDC45FE773B}"/>
    <cellStyle name="40 % - Accent1 11 2" xfId="1266" xr:uid="{B91D6CC6-41C1-4A86-B705-D379474347D7}"/>
    <cellStyle name="40 % - Accent1 12" xfId="233" xr:uid="{0F7B8E87-2A85-46E0-8583-6FD2ECC34F54}"/>
    <cellStyle name="40 % - Accent1 12 2" xfId="1278" xr:uid="{D2CF83F9-C878-41D2-816E-65E7750E8288}"/>
    <cellStyle name="40 % - Accent1 13" xfId="243" xr:uid="{9BB52FCD-5C4A-4320-A28C-6F476542BE74}"/>
    <cellStyle name="40 % - Accent1 13 2" xfId="1288" xr:uid="{0CB8E0D9-643D-49D2-AD5F-3609271D139C}"/>
    <cellStyle name="40 % - Accent1 14" xfId="274" xr:uid="{E51E1116-A89B-4298-8720-D56268AB55A5}"/>
    <cellStyle name="40 % - Accent1 14 2" xfId="1319" xr:uid="{ACE1B2A1-F347-412F-88E8-68FA7C2A5FD6}"/>
    <cellStyle name="40 % - Accent1 15" xfId="276" xr:uid="{BCE00BE7-ECEA-4797-BC17-6DE822CD4C65}"/>
    <cellStyle name="40 % - Accent1 15 2" xfId="1321" xr:uid="{98B10010-8B1E-447D-8462-D2A23096DF00}"/>
    <cellStyle name="40 % - Accent1 16" xfId="294" xr:uid="{DB919ED7-3DCC-4381-BF20-2BF6A795D84C}"/>
    <cellStyle name="40 % - Accent1 16 2" xfId="1339" xr:uid="{70E97C28-64B5-4DAF-A8A1-CBD596567BFF}"/>
    <cellStyle name="40 % - Accent1 17" xfId="307" xr:uid="{940E4569-F07D-43A2-B5A8-D88B947437EB}"/>
    <cellStyle name="40 % - Accent1 17 2" xfId="1352" xr:uid="{02B5F061-8A29-4C0B-AB67-8723874CD657}"/>
    <cellStyle name="40 % - Accent1 18" xfId="319" xr:uid="{50C6C831-FB8F-4BEE-A965-31A6A33B06DD}"/>
    <cellStyle name="40 % - Accent1 18 2" xfId="1364" xr:uid="{F57B4932-872D-453F-96D1-CF69CFB14368}"/>
    <cellStyle name="40 % - Accent1 19" xfId="331" xr:uid="{A145D557-776D-4359-A867-60C8BDDEDD08}"/>
    <cellStyle name="40 % - Accent1 19 2" xfId="1376" xr:uid="{A964235A-C24E-4356-89B6-47B80813D443}"/>
    <cellStyle name="40 % - Accent1 2" xfId="102" xr:uid="{8E596987-D522-4065-859B-4B8493DA19D0}"/>
    <cellStyle name="40 % - Accent1 2 2" xfId="448" xr:uid="{55B2AC64-2CBE-42E6-AE65-C711140A0D73}"/>
    <cellStyle name="40 % - Accent1 2 3" xfId="1147" xr:uid="{34589EED-D67E-49C1-8790-425EC5BEBE74}"/>
    <cellStyle name="40 % - Accent1 20" xfId="341" xr:uid="{CD3B19B8-1A64-4E13-BACC-CF3D0AB141C7}"/>
    <cellStyle name="40 % - Accent1 20 2" xfId="1386" xr:uid="{13C46FEB-79F8-4D78-B8BA-97F20555BE12}"/>
    <cellStyle name="40 % - Accent1 21" xfId="370" xr:uid="{7310A42F-1674-4DFD-B18E-9FFC139D8AD8}"/>
    <cellStyle name="40 % - Accent1 21 2" xfId="1415" xr:uid="{551E1859-24DF-4DD8-AE68-EEBE4F513931}"/>
    <cellStyle name="40 % - Accent1 22" xfId="372" xr:uid="{A65F3397-BAE9-4F38-AECF-15947F001179}"/>
    <cellStyle name="40 % - Accent1 22 2" xfId="1417" xr:uid="{2BB9198D-2BE6-4A2A-BC94-C7D20088888C}"/>
    <cellStyle name="40 % - Accent1 23" xfId="389" xr:uid="{92227A70-05AA-4063-A880-193D01A4BA40}"/>
    <cellStyle name="40 % - Accent1 23 2" xfId="1434" xr:uid="{F4242BB5-3ED0-4F39-87A4-930F5332420D}"/>
    <cellStyle name="40 % - Accent1 24" xfId="401" xr:uid="{B0008CA3-23FB-41C4-BE92-5E535C91F633}"/>
    <cellStyle name="40 % - Accent1 24 2" xfId="1446" xr:uid="{18F0C2E8-593C-46F3-A8D7-809A6C1FB63B}"/>
    <cellStyle name="40 % - Accent1 25" xfId="411" xr:uid="{CCAB2EA7-F241-4F74-9ABD-EE01BA3D8955}"/>
    <cellStyle name="40 % - Accent1 25 2" xfId="1456" xr:uid="{0C7C9F3D-C05C-489D-BF90-CCC3163A545F}"/>
    <cellStyle name="40 % - Accent1 26" xfId="431" xr:uid="{737ADB8E-FE8C-45EE-ACE7-B59358E2E192}"/>
    <cellStyle name="40 % - Accent1 26 2" xfId="1476" xr:uid="{8544AF97-F554-4E37-9288-2A15723FCD65}"/>
    <cellStyle name="40 % - Accent1 27" xfId="544" xr:uid="{7ECEA826-0D92-452B-A4E4-BFA46DDC815C}"/>
    <cellStyle name="40 % - Accent1 28" xfId="559" xr:uid="{3682EA00-7FDD-4F1C-A254-2ACFE677C9FC}"/>
    <cellStyle name="40 % - Accent1 29" xfId="580" xr:uid="{73F60258-BF08-4546-AB86-C918F5EC6F0D}"/>
    <cellStyle name="40 % - Accent1 3" xfId="104" xr:uid="{47A7B9B2-4387-4222-8CA8-5066B319B40B}"/>
    <cellStyle name="40 % - Accent1 3 2" xfId="1149" xr:uid="{DD529391-F8B1-47C5-8526-A420BA0980FE}"/>
    <cellStyle name="40 % - Accent1 30" xfId="597" xr:uid="{1D1092A9-D90E-46F9-8623-6A0F226E378C}"/>
    <cellStyle name="40 % - Accent1 31" xfId="614" xr:uid="{5CFA519A-7915-4C3C-8B00-0632E71F8464}"/>
    <cellStyle name="40 % - Accent1 32" xfId="632" xr:uid="{42685422-F2CD-4E1B-94BB-123EB9BF413D}"/>
    <cellStyle name="40 % - Accent1 33" xfId="656" xr:uid="{FD0428DD-63A5-4A4E-8BE5-CDA7DAA7B7B7}"/>
    <cellStyle name="40 % - Accent1 34" xfId="674" xr:uid="{96665667-0AC2-4C74-AD5F-C03ADF023479}"/>
    <cellStyle name="40 % - Accent1 35" xfId="697" xr:uid="{45870776-F0F5-464D-A511-35769239B04A}"/>
    <cellStyle name="40 % - Accent1 36" xfId="724" xr:uid="{D975AB1F-ECD3-47EB-AAD7-37AB278B130E}"/>
    <cellStyle name="40 % - Accent1 37" xfId="745" xr:uid="{9FA6AE66-9F72-4715-97D0-49F9D2B003CA}"/>
    <cellStyle name="40 % - Accent1 38" xfId="769" xr:uid="{A5CC9B6A-6C42-4528-989D-784CF8CD41CC}"/>
    <cellStyle name="40 % - Accent1 39" xfId="786" xr:uid="{47ED780A-166E-438A-8D12-0F0F82681ED8}"/>
    <cellStyle name="40 % - Accent1 4" xfId="121" xr:uid="{B1A29B33-2940-4112-B5C5-922AD3BFC8BD}"/>
    <cellStyle name="40 % - Accent1 4 2" xfId="1166" xr:uid="{06AD9543-72D8-47F5-BAAA-DB837B3BECC3}"/>
    <cellStyle name="40 % - Accent1 40" xfId="809" xr:uid="{7ED03FB1-CBD2-4452-A666-3502A12DFBC7}"/>
    <cellStyle name="40 % - Accent1 41" xfId="829" xr:uid="{B941367A-4B43-45BE-B1EB-E0419E222414}"/>
    <cellStyle name="40 % - Accent1 42" xfId="844" xr:uid="{4826935A-7A35-447E-AB6D-088E937C6A0D}"/>
    <cellStyle name="40 % - Accent1 43" xfId="865" xr:uid="{185ED13B-0BA8-46B8-926D-A038C91E9B20}"/>
    <cellStyle name="40 % - Accent1 44" xfId="880" xr:uid="{47511703-5DAA-44A7-A28E-01CC06B04590}"/>
    <cellStyle name="40 % - Accent1 45" xfId="895" xr:uid="{2B03E742-E804-465E-A547-D2CC810EEC9B}"/>
    <cellStyle name="40 % - Accent1 46" xfId="909" xr:uid="{652E4F9A-2022-4C34-BCB8-A767504D9EC1}"/>
    <cellStyle name="40 % - Accent1 47" xfId="925" xr:uid="{A555A71D-4414-43CF-84B4-74FE6816F412}"/>
    <cellStyle name="40 % - Accent1 48" xfId="940" xr:uid="{E07226BE-DCFE-4DA6-9949-7809606C2B5E}"/>
    <cellStyle name="40 % - Accent1 49" xfId="958" xr:uid="{4B5D4EC0-A654-4D65-93FC-C9E030EE7152}"/>
    <cellStyle name="40 % - Accent1 5" xfId="142" xr:uid="{58E0633E-7A9C-40C2-94E0-0625B1A680D5}"/>
    <cellStyle name="40 % - Accent1 5 2" xfId="1187" xr:uid="{2E2AD8D3-A060-42A0-8618-3502CF83728C}"/>
    <cellStyle name="40 % - Accent1 50" xfId="974" xr:uid="{C7F3A382-B058-448F-A916-53787F07F897}"/>
    <cellStyle name="40 % - Accent1 51" xfId="989" xr:uid="{882F9165-99F8-45F0-A0F6-2E49B2BDC103}"/>
    <cellStyle name="40 % - Accent1 52" xfId="1006" xr:uid="{1AE24D52-1150-493F-B53C-4F0432200096}"/>
    <cellStyle name="40 % - Accent1 53" xfId="1022" xr:uid="{2FD44EEC-C412-499D-B78C-4EE85D284DC8}"/>
    <cellStyle name="40 % - Accent1 54" xfId="1037" xr:uid="{C0265F39-E87D-4D2E-ADAF-AF77C44D9323}"/>
    <cellStyle name="40 % - Accent1 55" xfId="1056" xr:uid="{F73C74E7-C267-4ACD-A190-B90A58854D84}"/>
    <cellStyle name="40 % - Accent1 56" xfId="1074" xr:uid="{4909F003-2DE4-40E5-89F3-982B650745EE}"/>
    <cellStyle name="40 % - Accent1 57" xfId="1093" xr:uid="{729874BF-97A5-4C34-9FFD-CEB241793FD5}"/>
    <cellStyle name="40 % - Accent1 6" xfId="161" xr:uid="{5A617516-549F-4D76-9B38-9F1DA61988C4}"/>
    <cellStyle name="40 % - Accent1 6 2" xfId="1206" xr:uid="{069816D1-4B6C-4FEA-AE94-525E6A6C03E8}"/>
    <cellStyle name="40 % - Accent1 7" xfId="153" xr:uid="{81F13FD5-A10A-432C-B05C-7E628550A60B}"/>
    <cellStyle name="40 % - Accent1 7 2" xfId="1198" xr:uid="{FAE0E899-2ABB-4DD0-BA38-0058DD919E4E}"/>
    <cellStyle name="40 % - Accent1 8" xfId="189" xr:uid="{D65617FD-EEAC-4B1A-954F-B060CA4327DF}"/>
    <cellStyle name="40 % - Accent1 8 2" xfId="1234" xr:uid="{689B821B-15EA-4966-86E7-B4608782D63F}"/>
    <cellStyle name="40 % - Accent1 9" xfId="191" xr:uid="{F281DF88-EB57-4A88-9C0B-47BEC7BD8E04}"/>
    <cellStyle name="40 % - Accent1 9 2" xfId="1236" xr:uid="{7FCE66C7-ADAD-4BFA-BD67-274B3CA630D0}"/>
    <cellStyle name="40 % - Accent2" xfId="20" builtinId="35" customBuiltin="1"/>
    <cellStyle name="40 % - Accent2 10" xfId="215" xr:uid="{2BED5C8D-C4F0-4CE5-8355-EE1D78C21A56}"/>
    <cellStyle name="40 % - Accent2 10 2" xfId="1260" xr:uid="{C8927E5C-FF0B-48F5-BD68-17F092D9D6A0}"/>
    <cellStyle name="40 % - Accent2 11" xfId="227" xr:uid="{32B79AFE-3462-455F-BD39-81628ED52290}"/>
    <cellStyle name="40 % - Accent2 11 2" xfId="1272" xr:uid="{3FA344E4-4682-4B0B-9FCF-D15D68163E3B}"/>
    <cellStyle name="40 % - Accent2 12" xfId="237" xr:uid="{72E74651-9AF9-4B2E-B339-8C4426D66580}"/>
    <cellStyle name="40 % - Accent2 12 2" xfId="1282" xr:uid="{EB29CBFF-655D-42E1-980A-A3AECE0E41A4}"/>
    <cellStyle name="40 % - Accent2 13" xfId="247" xr:uid="{E914BA4F-8852-47C6-A189-F846EF55FDDD}"/>
    <cellStyle name="40 % - Accent2 13 2" xfId="1292" xr:uid="{EC88C033-4094-4F61-ABFD-F649DFC27742}"/>
    <cellStyle name="40 % - Accent2 14" xfId="278" xr:uid="{9B8FEE53-A20C-4A79-995D-4787F459F25B}"/>
    <cellStyle name="40 % - Accent2 14 2" xfId="1323" xr:uid="{C188BD6E-5996-4F05-8E03-4F4115C5C8D9}"/>
    <cellStyle name="40 % - Accent2 15" xfId="287" xr:uid="{6CB257C4-6EB2-4568-9A4E-F42F5A2C3068}"/>
    <cellStyle name="40 % - Accent2 15 2" xfId="1332" xr:uid="{96334582-EBBD-4FBB-83A9-03F904BE26B2}"/>
    <cellStyle name="40 % - Accent2 16" xfId="300" xr:uid="{168F1B2E-A850-42A7-BC38-7AC8014625DE}"/>
    <cellStyle name="40 % - Accent2 16 2" xfId="1345" xr:uid="{92EA5FB0-7AD6-446E-BFB3-7E565A9AEF1A}"/>
    <cellStyle name="40 % - Accent2 17" xfId="313" xr:uid="{3B973A70-8CBD-413B-942E-EE66EE6A0630}"/>
    <cellStyle name="40 % - Accent2 17 2" xfId="1358" xr:uid="{73870270-0879-4196-AA72-431C92253220}"/>
    <cellStyle name="40 % - Accent2 18" xfId="325" xr:uid="{A7CADA60-98B5-4128-B9CF-71B2A2D9E84B}"/>
    <cellStyle name="40 % - Accent2 18 2" xfId="1370" xr:uid="{C26038E4-D86B-4A13-A324-F40D51EFFA7C}"/>
    <cellStyle name="40 % - Accent2 19" xfId="335" xr:uid="{34B373F6-2F19-48C4-8DD3-8BBEC02DC1A3}"/>
    <cellStyle name="40 % - Accent2 19 2" xfId="1380" xr:uid="{B8F97907-E566-47F7-9B6B-9F097D9571A1}"/>
    <cellStyle name="40 % - Accent2 2" xfId="106" xr:uid="{1B328394-0D71-4936-AC4F-310CA41DB119}"/>
    <cellStyle name="40 % - Accent2 2 2" xfId="449" xr:uid="{B18D9E00-7A37-47F4-A0F0-6302483936FF}"/>
    <cellStyle name="40 % - Accent2 2 3" xfId="1151" xr:uid="{DB0E250D-53C8-43C0-A3E1-7B5C16F9DF40}"/>
    <cellStyle name="40 % - Accent2 20" xfId="345" xr:uid="{0EFD9B30-F5FE-4439-A3ED-4B9ABCC62C47}"/>
    <cellStyle name="40 % - Accent2 20 2" xfId="1390" xr:uid="{58EF3A55-E442-4D2E-A067-20702DCCBAF6}"/>
    <cellStyle name="40 % - Accent2 21" xfId="374" xr:uid="{310D2FAC-E13A-4D17-A325-3EF68D861531}"/>
    <cellStyle name="40 % - Accent2 21 2" xfId="1419" xr:uid="{C2A98D5E-2ED0-4649-8C71-B6BBEB4D2C70}"/>
    <cellStyle name="40 % - Accent2 22" xfId="383" xr:uid="{366DB496-9019-49D1-B93F-F1BA1A42D005}"/>
    <cellStyle name="40 % - Accent2 22 2" xfId="1428" xr:uid="{645C59F1-E960-4E7D-8BCD-7FB7570BDFA7}"/>
    <cellStyle name="40 % - Accent2 23" xfId="395" xr:uid="{1630FC87-54F3-4DCB-975C-E217AA3A73D1}"/>
    <cellStyle name="40 % - Accent2 23 2" xfId="1440" xr:uid="{4123B6CF-7608-4DA0-8C98-B3680DEFC876}"/>
    <cellStyle name="40 % - Accent2 24" xfId="405" xr:uid="{2363D426-2EB6-4F49-8187-ED84AF13E003}"/>
    <cellStyle name="40 % - Accent2 24 2" xfId="1450" xr:uid="{46A4D8D6-A539-4926-AB2E-793B10263490}"/>
    <cellStyle name="40 % - Accent2 25" xfId="415" xr:uid="{1E1F359B-211A-4C37-A1A6-C0AA94F61054}"/>
    <cellStyle name="40 % - Accent2 25 2" xfId="1460" xr:uid="{617D862A-276A-4E99-9A93-861AFFAA7C8B}"/>
    <cellStyle name="40 % - Accent2 26" xfId="433" xr:uid="{F033149B-7032-4E49-A5F5-8BABF176C351}"/>
    <cellStyle name="40 % - Accent2 26 2" xfId="1478" xr:uid="{3D361432-5E5F-4714-B770-72581E509E51}"/>
    <cellStyle name="40 % - Accent2 27" xfId="546" xr:uid="{957A9046-8940-47B3-96FE-D5767B3F8590}"/>
    <cellStyle name="40 % - Accent2 28" xfId="561" xr:uid="{39DAF661-1252-4B22-84A3-EF1A59EBCFF8}"/>
    <cellStyle name="40 % - Accent2 29" xfId="582" xr:uid="{43D3A7B6-1204-4FC7-B885-E69B451FF232}"/>
    <cellStyle name="40 % - Accent2 3" xfId="115" xr:uid="{D7F43C43-5AD8-4847-843C-E87C0766AC1D}"/>
    <cellStyle name="40 % - Accent2 3 2" xfId="1160" xr:uid="{282AD0B6-B66F-4057-B687-611B8B6B776F}"/>
    <cellStyle name="40 % - Accent2 30" xfId="599" xr:uid="{32419C8B-EE33-4000-AE32-2261E393CE8F}"/>
    <cellStyle name="40 % - Accent2 31" xfId="616" xr:uid="{F698CD50-B109-498E-9D67-F7819D7DA3C5}"/>
    <cellStyle name="40 % - Accent2 32" xfId="634" xr:uid="{3B4E319A-0A15-4AA0-94AB-3B6CE59CBC04}"/>
    <cellStyle name="40 % - Accent2 33" xfId="658" xr:uid="{D11E96ED-06D8-4266-9656-2089A3C0DF98}"/>
    <cellStyle name="40 % - Accent2 34" xfId="677" xr:uid="{831B385A-9A05-4985-B5FC-D7D3458DEEF0}"/>
    <cellStyle name="40 % - Accent2 35" xfId="699" xr:uid="{A9BF56DB-F829-4242-A918-6E2C6B75F4C0}"/>
    <cellStyle name="40 % - Accent2 36" xfId="726" xr:uid="{49275F05-A4B5-4C39-9A28-F38EA92BF819}"/>
    <cellStyle name="40 % - Accent2 37" xfId="747" xr:uid="{D62B94CA-C360-4C60-9E6E-54B4D55729E6}"/>
    <cellStyle name="40 % - Accent2 38" xfId="771" xr:uid="{F6F9953E-A454-4BB0-8C34-CF9233BCD06B}"/>
    <cellStyle name="40 % - Accent2 39" xfId="788" xr:uid="{0B0CE100-D0F4-4BDE-8840-83DB2627B7D3}"/>
    <cellStyle name="40 % - Accent2 4" xfId="125" xr:uid="{D2E843A3-56AA-456D-8664-4304A7C5F3FA}"/>
    <cellStyle name="40 % - Accent2 4 2" xfId="1170" xr:uid="{1DFB0E07-B399-49DB-B275-088B87E42757}"/>
    <cellStyle name="40 % - Accent2 40" xfId="811" xr:uid="{1E3BA743-BE46-435E-BAC8-89173049AF06}"/>
    <cellStyle name="40 % - Accent2 41" xfId="831" xr:uid="{DE957E92-09D8-41B4-8870-FA798FD6B3B8}"/>
    <cellStyle name="40 % - Accent2 42" xfId="846" xr:uid="{F308A3E1-B374-430A-B760-05F7F3BDE532}"/>
    <cellStyle name="40 % - Accent2 43" xfId="867" xr:uid="{9334AEAB-625C-4035-8C6C-1982627CC269}"/>
    <cellStyle name="40 % - Accent2 44" xfId="882" xr:uid="{ED179118-2DB9-4536-9A19-10138CB4DD7B}"/>
    <cellStyle name="40 % - Accent2 45" xfId="897" xr:uid="{EE3157DB-AB8F-4200-8BFD-D084BD18FA9E}"/>
    <cellStyle name="40 % - Accent2 46" xfId="911" xr:uid="{01CCA564-3011-4244-8B7C-6CF27DDF9B9C}"/>
    <cellStyle name="40 % - Accent2 47" xfId="927" xr:uid="{4E6F262C-7C24-4E7B-8106-D4E5154F14DB}"/>
    <cellStyle name="40 % - Accent2 48" xfId="942" xr:uid="{11DE409C-DF43-4F2D-AA9B-A200FC365DFE}"/>
    <cellStyle name="40 % - Accent2 49" xfId="960" xr:uid="{C0D539D1-6D1E-4900-8AD9-FD29C21FC5F9}"/>
    <cellStyle name="40 % - Accent2 5" xfId="146" xr:uid="{ED89AC5F-6D8C-49DF-B21F-205FAB2E7970}"/>
    <cellStyle name="40 % - Accent2 5 2" xfId="1191" xr:uid="{75790D8A-D2F8-4197-9310-A13B2884B89D}"/>
    <cellStyle name="40 % - Accent2 50" xfId="976" xr:uid="{9EAF4B24-9B18-409D-B7F4-34E5942D8662}"/>
    <cellStyle name="40 % - Accent2 51" xfId="992" xr:uid="{6681F654-4B7B-40B3-B093-1B4765716C71}"/>
    <cellStyle name="40 % - Accent2 52" xfId="1008" xr:uid="{4677E396-6E5E-4612-AC94-1E4E2217261B}"/>
    <cellStyle name="40 % - Accent2 53" xfId="1024" xr:uid="{DC094BB3-F5F0-48EA-93FE-57C7A6186540}"/>
    <cellStyle name="40 % - Accent2 54" xfId="1039" xr:uid="{C28D6DAC-22E2-48B3-BB73-FCC1B52F98FD}"/>
    <cellStyle name="40 % - Accent2 55" xfId="1058" xr:uid="{1C2424E6-B9A7-46B3-A095-F50CEAFD8303}"/>
    <cellStyle name="40 % - Accent2 56" xfId="1076" xr:uid="{DA48D236-EDD6-4B5D-A360-B8040DE55352}"/>
    <cellStyle name="40 % - Accent2 57" xfId="1095" xr:uid="{B0EEF088-2625-4FFF-AAEA-13718D0A754B}"/>
    <cellStyle name="40 % - Accent2 6" xfId="147" xr:uid="{C4F95AEE-FDC9-4BC6-BEEA-705D3C133BA2}"/>
    <cellStyle name="40 % - Accent2 6 2" xfId="1192" xr:uid="{8CB312C4-180A-4E75-900D-29A7AA5BE1AB}"/>
    <cellStyle name="40 % - Accent2 7" xfId="169" xr:uid="{A01BE8AC-F438-47E2-836A-435BDB09F405}"/>
    <cellStyle name="40 % - Accent2 7 2" xfId="1214" xr:uid="{A75269CF-BD6A-4C59-8CDE-8D4B7DCAD5B0}"/>
    <cellStyle name="40 % - Accent2 8" xfId="193" xr:uid="{DBA2FE19-DED5-4AEC-822D-8E25E47765FE}"/>
    <cellStyle name="40 % - Accent2 8 2" xfId="1238" xr:uid="{103B50F3-20E0-4A14-893C-6CFD028404FD}"/>
    <cellStyle name="40 % - Accent2 9" xfId="202" xr:uid="{350B1D18-304A-4889-A427-5F09B91A3BD3}"/>
    <cellStyle name="40 % - Accent2 9 2" xfId="1247" xr:uid="{62CC86B4-D71D-46EA-BB1E-E8DF799D6956}"/>
    <cellStyle name="40 % - Accent3" xfId="23" builtinId="39" customBuiltin="1"/>
    <cellStyle name="40 % - Accent3 10" xfId="222" xr:uid="{26578C51-DFAF-4035-B68A-85C06991E6C3}"/>
    <cellStyle name="40 % - Accent3 10 2" xfId="1267" xr:uid="{65FD1646-F361-4D9C-A016-4EFFDC2953B4}"/>
    <cellStyle name="40 % - Accent3 11" xfId="234" xr:uid="{EF371C31-7343-49BD-986F-9F55FD7ABC4C}"/>
    <cellStyle name="40 % - Accent3 11 2" xfId="1279" xr:uid="{A3796C50-8272-4925-8F69-5BB8AD8097C2}"/>
    <cellStyle name="40 % - Accent3 12" xfId="244" xr:uid="{CD719E35-D312-435F-A593-DC5B14A8D7EF}"/>
    <cellStyle name="40 % - Accent3 12 2" xfId="1289" xr:uid="{4BD9648F-68F0-438D-A133-CE50C3EBFB4B}"/>
    <cellStyle name="40 % - Accent3 13" xfId="253" xr:uid="{8833E95A-6134-43D3-99E3-DA2A4D901651}"/>
    <cellStyle name="40 % - Accent3 13 2" xfId="1298" xr:uid="{E64468C0-DD76-4AD3-8757-EBB5E481438D}"/>
    <cellStyle name="40 % - Accent3 14" xfId="282" xr:uid="{90C8C4E8-5B22-47B7-9789-889FB175ADD1}"/>
    <cellStyle name="40 % - Accent3 14 2" xfId="1327" xr:uid="{D15A2193-BB72-4B7B-A11C-F930E0F9684C}"/>
    <cellStyle name="40 % - Accent3 15" xfId="295" xr:uid="{551C6434-E54B-48CA-8C3C-A8EBBE93B8AF}"/>
    <cellStyle name="40 % - Accent3 15 2" xfId="1340" xr:uid="{B3DAC7BD-477C-4B46-B07A-E6D396CE357E}"/>
    <cellStyle name="40 % - Accent3 16" xfId="308" xr:uid="{CBB497DB-B7AA-4CB0-A677-816970CA4A2F}"/>
    <cellStyle name="40 % - Accent3 16 2" xfId="1353" xr:uid="{B34B8431-4B55-4224-9836-BFC2B0751D69}"/>
    <cellStyle name="40 % - Accent3 17" xfId="320" xr:uid="{81401962-EABD-4F44-84EC-F1A9A19E53FD}"/>
    <cellStyle name="40 % - Accent3 17 2" xfId="1365" xr:uid="{7415873A-64FC-49F0-A2AE-B4D622AD7029}"/>
    <cellStyle name="40 % - Accent3 18" xfId="332" xr:uid="{D66C54A8-04E6-4791-95C6-E43230E766DC}"/>
    <cellStyle name="40 % - Accent3 18 2" xfId="1377" xr:uid="{FC10184A-83F5-4D89-B353-FEE12A81B2C4}"/>
    <cellStyle name="40 % - Accent3 19" xfId="342" xr:uid="{C80F8307-F1AD-4DD8-9BB1-7096A5507FF9}"/>
    <cellStyle name="40 % - Accent3 19 2" xfId="1387" xr:uid="{4A4AFA6E-A407-4CF6-9F53-422C4B9DD914}"/>
    <cellStyle name="40 % - Accent3 2" xfId="110" xr:uid="{1A903618-475A-4862-AE8B-3AA78C8878F3}"/>
    <cellStyle name="40 % - Accent3 2 2" xfId="450" xr:uid="{C0EEF3A9-0623-487A-8667-487AE77711C3}"/>
    <cellStyle name="40 % - Accent3 2 3" xfId="1155" xr:uid="{C581B7E7-43C1-471A-8EB3-CCEB1110B03D}"/>
    <cellStyle name="40 % - Accent3 20" xfId="351" xr:uid="{A5DD8B0B-C2BD-4D9F-9F09-51509BF405D8}"/>
    <cellStyle name="40 % - Accent3 20 2" xfId="1396" xr:uid="{B0F25FE2-14E1-41F1-A16B-416F017A0743}"/>
    <cellStyle name="40 % - Accent3 21" xfId="378" xr:uid="{0B8F06EF-068C-471F-B9BE-E8DA0AAAFCBD}"/>
    <cellStyle name="40 % - Accent3 21 2" xfId="1423" xr:uid="{7EEDF691-AA1D-41B3-910B-E2D8C3E50256}"/>
    <cellStyle name="40 % - Accent3 22" xfId="390" xr:uid="{7C6135BB-C34E-469D-80A4-410A5BCF21AA}"/>
    <cellStyle name="40 % - Accent3 22 2" xfId="1435" xr:uid="{EE227D9A-2215-42F2-8B0C-CF8A75131DD8}"/>
    <cellStyle name="40 % - Accent3 23" xfId="402" xr:uid="{3B550781-E55E-4954-A51B-D0657A2753A6}"/>
    <cellStyle name="40 % - Accent3 23 2" xfId="1447" xr:uid="{3337C941-639B-41E1-B6AE-E90E2BA25753}"/>
    <cellStyle name="40 % - Accent3 24" xfId="412" xr:uid="{9F3DEB77-105C-442D-9217-BA291EF369A5}"/>
    <cellStyle name="40 % - Accent3 24 2" xfId="1457" xr:uid="{650B40F2-38E4-4E16-BD6B-3FC1C527E982}"/>
    <cellStyle name="40 % - Accent3 25" xfId="421" xr:uid="{1B2B6743-2922-4E5C-8A13-8BDA85F5A34A}"/>
    <cellStyle name="40 % - Accent3 25 2" xfId="1466" xr:uid="{ACBA1368-1F0D-406A-92B3-D71A4794E275}"/>
    <cellStyle name="40 % - Accent3 26" xfId="435" xr:uid="{6D0AE999-83A6-4246-A445-63B97B206A02}"/>
    <cellStyle name="40 % - Accent3 26 2" xfId="1480" xr:uid="{F3833CE5-F4C6-4B16-B797-5B45C3861637}"/>
    <cellStyle name="40 % - Accent3 27" xfId="548" xr:uid="{470DC890-A6BC-4590-9B9A-B4E1BFEDD910}"/>
    <cellStyle name="40 % - Accent3 28" xfId="563" xr:uid="{6CFBFF42-5C21-4921-8835-08165010BAEB}"/>
    <cellStyle name="40 % - Accent3 29" xfId="585" xr:uid="{CC3E9A35-76D4-45A1-BFA0-606E77E38B71}"/>
    <cellStyle name="40 % - Accent3 3" xfId="122" xr:uid="{AF925872-C3DA-4A1E-B6F8-AD3FCE404829}"/>
    <cellStyle name="40 % - Accent3 3 2" xfId="1167" xr:uid="{9597D9B6-1CA4-45C0-850F-9F112528C6DF}"/>
    <cellStyle name="40 % - Accent3 30" xfId="601" xr:uid="{223F5F26-A4D6-49C3-B7ED-18C3736298DF}"/>
    <cellStyle name="40 % - Accent3 31" xfId="618" xr:uid="{0CB06127-BC8C-4CCB-B38B-A95FBD2D6B00}"/>
    <cellStyle name="40 % - Accent3 32" xfId="636" xr:uid="{AD0D3D92-F355-4084-BC67-6B00B99499A1}"/>
    <cellStyle name="40 % - Accent3 33" xfId="660" xr:uid="{CC0A747F-1FD3-41F3-8F1B-7FE3529DCED5}"/>
    <cellStyle name="40 % - Accent3 34" xfId="679" xr:uid="{E3976ABB-1703-4815-9429-BE6412749258}"/>
    <cellStyle name="40 % - Accent3 35" xfId="701" xr:uid="{8E94C026-BE60-46E2-962C-E447A0C6091C}"/>
    <cellStyle name="40 % - Accent3 36" xfId="728" xr:uid="{3A68A9E4-CB28-461E-8766-4E205312ABE1}"/>
    <cellStyle name="40 % - Accent3 37" xfId="749" xr:uid="{5DDA6E24-0C9B-4719-8FE7-A178A3F98AD7}"/>
    <cellStyle name="40 % - Accent3 38" xfId="773" xr:uid="{88051910-A28B-4DF7-B207-4A92E9951DF5}"/>
    <cellStyle name="40 % - Accent3 39" xfId="790" xr:uid="{2D0F6DB6-F13B-447D-97A6-BFF6D5772263}"/>
    <cellStyle name="40 % - Accent3 4" xfId="131" xr:uid="{8BB3F406-FB0E-41E7-903C-C4AC2A1A6ADE}"/>
    <cellStyle name="40 % - Accent3 4 2" xfId="1176" xr:uid="{3471D6C3-CB22-4CF9-B1AC-A7F5AB245479}"/>
    <cellStyle name="40 % - Accent3 40" xfId="814" xr:uid="{AAB793F7-FE10-4947-A2B4-AD038FAAB8B4}"/>
    <cellStyle name="40 % - Accent3 41" xfId="833" xr:uid="{29898411-DA5E-4C69-9769-F9A39B9E3B73}"/>
    <cellStyle name="40 % - Accent3 42" xfId="848" xr:uid="{520AC381-F7CD-4A28-9936-7C481D0DCE76}"/>
    <cellStyle name="40 % - Accent3 43" xfId="869" xr:uid="{690049C1-1E49-4BAA-B3A3-FDB069A1D66F}"/>
    <cellStyle name="40 % - Accent3 44" xfId="884" xr:uid="{02FDA142-70EA-4E14-9B3B-91424D06637B}"/>
    <cellStyle name="40 % - Accent3 45" xfId="899" xr:uid="{6A20CC13-8F03-4DB0-ABC6-2D4D66150082}"/>
    <cellStyle name="40 % - Accent3 46" xfId="913" xr:uid="{42DC9887-D468-4E77-9AA9-3150D93B4A81}"/>
    <cellStyle name="40 % - Accent3 47" xfId="929" xr:uid="{BBB9181D-7459-470D-9711-05856BF019C0}"/>
    <cellStyle name="40 % - Accent3 48" xfId="944" xr:uid="{DDEEF87E-771E-49A2-9259-9C99BC665309}"/>
    <cellStyle name="40 % - Accent3 49" xfId="962" xr:uid="{DB6C458A-0830-41ED-88F4-8B04F48CC52A}"/>
    <cellStyle name="40 % - Accent3 5" xfId="149" xr:uid="{35ABF7D7-0907-40AB-9ADE-D52482E72528}"/>
    <cellStyle name="40 % - Accent3 5 2" xfId="1194" xr:uid="{9174E135-1127-4350-962E-518DCD8FC0EE}"/>
    <cellStyle name="40 % - Accent3 50" xfId="978" xr:uid="{73E9A8F2-AAF1-4DE0-B8E9-22F76C8766F2}"/>
    <cellStyle name="40 % - Accent3 51" xfId="994" xr:uid="{62B5FAD3-E82F-4B05-960E-82140112E39A}"/>
    <cellStyle name="40 % - Accent3 52" xfId="1010" xr:uid="{73D20376-5818-4875-8BB9-E5D797ADE1E7}"/>
    <cellStyle name="40 % - Accent3 53" xfId="1026" xr:uid="{B43D7166-F922-4C3F-AB3F-7261BE283194}"/>
    <cellStyle name="40 % - Accent3 54" xfId="1041" xr:uid="{3CC1EB49-5041-4F52-A98E-73EDAF52AF20}"/>
    <cellStyle name="40 % - Accent3 55" xfId="1060" xr:uid="{1F31EC07-B13F-465A-BC08-79216E05AEE3}"/>
    <cellStyle name="40 % - Accent3 56" xfId="1079" xr:uid="{C1CB0A98-DC80-4DA9-A7AD-456A575AF3BD}"/>
    <cellStyle name="40 % - Accent3 57" xfId="1097" xr:uid="{C79156E1-6FA9-4531-99AB-1B48E32D7D8F}"/>
    <cellStyle name="40 % - Accent3 6" xfId="164" xr:uid="{3402C327-E5B3-4E6B-AAE3-BFB7F8212601}"/>
    <cellStyle name="40 % - Accent3 6 2" xfId="1209" xr:uid="{61BE4B8B-AAB1-46F9-8F42-D099AE6409DE}"/>
    <cellStyle name="40 % - Accent3 7" xfId="175" xr:uid="{3A4DA909-640C-4922-B8E8-A588C106ADAE}"/>
    <cellStyle name="40 % - Accent3 7 2" xfId="1220" xr:uid="{8479B352-EED6-4627-86FC-7B950BEA94AB}"/>
    <cellStyle name="40 % - Accent3 8" xfId="197" xr:uid="{3EC0E12E-9913-4DBC-83A5-18B88CFD8421}"/>
    <cellStyle name="40 % - Accent3 8 2" xfId="1242" xr:uid="{07C7BEE8-9ADC-4364-843C-6F222C1B2BFD}"/>
    <cellStyle name="40 % - Accent3 9" xfId="210" xr:uid="{964C1675-6283-49F9-AD1F-4D47A9387C03}"/>
    <cellStyle name="40 % - Accent3 9 2" xfId="1255" xr:uid="{9EC0D469-0052-468F-9797-B0CC5FA208A0}"/>
    <cellStyle name="40 % - Accent4" xfId="26" builtinId="43" customBuiltin="1"/>
    <cellStyle name="40 % - Accent4 10" xfId="226" xr:uid="{33EAB770-6953-4295-8A90-51D21F12D3EC}"/>
    <cellStyle name="40 % - Accent4 10 2" xfId="1271" xr:uid="{7BB5E577-6E63-4E94-8E65-98F9D4E2D922}"/>
    <cellStyle name="40 % - Accent4 11" xfId="236" xr:uid="{B8D00A58-30DD-47D8-B8F3-CC94FAFF1495}"/>
    <cellStyle name="40 % - Accent4 11 2" xfId="1281" xr:uid="{58991961-8116-440E-A2A0-B2F0A4D1A9EE}"/>
    <cellStyle name="40 % - Accent4 12" xfId="246" xr:uid="{D4282632-6BA2-4182-B189-72F1DA3638A5}"/>
    <cellStyle name="40 % - Accent4 12 2" xfId="1291" xr:uid="{E2E3E0B1-B820-45E3-9D38-80029B0AB2DF}"/>
    <cellStyle name="40 % - Accent4 13" xfId="255" xr:uid="{9135D167-B196-4B3C-84B4-CC5A7FCF6743}"/>
    <cellStyle name="40 % - Accent4 13 2" xfId="1300" xr:uid="{61E643BD-B40B-46BA-8B22-D0F28D291AE4}"/>
    <cellStyle name="40 % - Accent4 14" xfId="286" xr:uid="{AAFB77C5-48D2-4118-8771-54FCA28E80FA}"/>
    <cellStyle name="40 % - Accent4 14 2" xfId="1331" xr:uid="{91C51DF7-8688-4680-AB1F-4620262909CA}"/>
    <cellStyle name="40 % - Accent4 15" xfId="299" xr:uid="{65FF214B-DE95-4422-995D-E8BA2E631906}"/>
    <cellStyle name="40 % - Accent4 15 2" xfId="1344" xr:uid="{3D41BF6E-B7D6-41CD-B4E1-09852F6B6237}"/>
    <cellStyle name="40 % - Accent4 16" xfId="312" xr:uid="{5F5AFEA6-CEDF-4C78-98D0-FB4DB2940AC9}"/>
    <cellStyle name="40 % - Accent4 16 2" xfId="1357" xr:uid="{9D835A01-A411-45CC-8472-D909D3D3F93A}"/>
    <cellStyle name="40 % - Accent4 17" xfId="324" xr:uid="{71BDB06B-E9F7-4544-87E1-F88BC5C9830E}"/>
    <cellStyle name="40 % - Accent4 17 2" xfId="1369" xr:uid="{7CF29F0F-EAAF-41FA-B542-9355710779F4}"/>
    <cellStyle name="40 % - Accent4 18" xfId="334" xr:uid="{7248F2C7-629B-4D4C-9D53-B1533042324C}"/>
    <cellStyle name="40 % - Accent4 18 2" xfId="1379" xr:uid="{D97C4D9B-4F89-4196-99CC-2FC6AC4BFEA8}"/>
    <cellStyle name="40 % - Accent4 19" xfId="344" xr:uid="{143916F5-6DB5-430B-A087-D46DB3D500AD}"/>
    <cellStyle name="40 % - Accent4 19 2" xfId="1389" xr:uid="{37EADDFD-85DA-471C-8AB2-EDA19DA19D20}"/>
    <cellStyle name="40 % - Accent4 2" xfId="114" xr:uid="{1C7628AE-1548-41FB-9DDB-D82E0E1EB960}"/>
    <cellStyle name="40 % - Accent4 2 2" xfId="451" xr:uid="{DC5717C3-E589-4B8C-B945-6C55D28A4D5E}"/>
    <cellStyle name="40 % - Accent4 2 3" xfId="1159" xr:uid="{AFB76AEC-96EC-470C-A61D-DBF7A4D54248}"/>
    <cellStyle name="40 % - Accent4 20" xfId="353" xr:uid="{4F503E16-F9C0-47BC-83A2-8019FC272B83}"/>
    <cellStyle name="40 % - Accent4 20 2" xfId="1398" xr:uid="{7F116BEC-F2FA-4D9E-A5FC-EBFA374FEF73}"/>
    <cellStyle name="40 % - Accent4 21" xfId="382" xr:uid="{0EF839AE-A754-4361-B0F6-384D6602632D}"/>
    <cellStyle name="40 % - Accent4 21 2" xfId="1427" xr:uid="{0500BE3C-0BB6-4BC9-8023-FAEC422384AE}"/>
    <cellStyle name="40 % - Accent4 22" xfId="394" xr:uid="{2CE44393-1C93-4A88-B861-00E9CA77428F}"/>
    <cellStyle name="40 % - Accent4 22 2" xfId="1439" xr:uid="{519F6F64-E9FB-4CD9-8818-D34D2C83041F}"/>
    <cellStyle name="40 % - Accent4 23" xfId="404" xr:uid="{E2DAE313-E6FC-450D-AA15-67C806B56BF9}"/>
    <cellStyle name="40 % - Accent4 23 2" xfId="1449" xr:uid="{2F575FF8-7C0F-4E47-9EA8-376020BD64F4}"/>
    <cellStyle name="40 % - Accent4 24" xfId="414" xr:uid="{5BDFE330-6787-4375-A7F0-3DE4B94A6DAF}"/>
    <cellStyle name="40 % - Accent4 24 2" xfId="1459" xr:uid="{33369F34-4458-4C67-808A-D720D051CB52}"/>
    <cellStyle name="40 % - Accent4 25" xfId="423" xr:uid="{BED79E74-54EE-4DC0-99F7-EAAB3A1139F6}"/>
    <cellStyle name="40 % - Accent4 25 2" xfId="1468" xr:uid="{547F44FD-78B5-4051-A4D5-73C14C2AD9E5}"/>
    <cellStyle name="40 % - Accent4 26" xfId="437" xr:uid="{4C979FF4-E9AC-43F2-955C-C3DACC9F925C}"/>
    <cellStyle name="40 % - Accent4 26 2" xfId="1482" xr:uid="{35143208-7BC1-4941-B82D-EF73BC20ED58}"/>
    <cellStyle name="40 % - Accent4 27" xfId="550" xr:uid="{63D7F97A-EDBF-43CA-AC16-B69CDD6AAB47}"/>
    <cellStyle name="40 % - Accent4 28" xfId="565" xr:uid="{D836D4E5-84FB-4A14-AF42-7920F456C4E6}"/>
    <cellStyle name="40 % - Accent4 29" xfId="587" xr:uid="{2CA1503D-60A5-4530-B9B4-91C5EE0D269C}"/>
    <cellStyle name="40 % - Accent4 3" xfId="124" xr:uid="{3B1B67A3-027F-4276-9537-AD1C25144591}"/>
    <cellStyle name="40 % - Accent4 3 2" xfId="1169" xr:uid="{7441EDF7-4262-45F7-9D52-E37547489156}"/>
    <cellStyle name="40 % - Accent4 30" xfId="603" xr:uid="{8E0C5E62-2EBD-4E48-863A-B6D929881E93}"/>
    <cellStyle name="40 % - Accent4 31" xfId="620" xr:uid="{2D0C2C54-3F1A-4718-8162-63EBD7FC8EE3}"/>
    <cellStyle name="40 % - Accent4 32" xfId="638" xr:uid="{725ABBB9-ADD8-49B0-A231-5DC3B8991E4D}"/>
    <cellStyle name="40 % - Accent4 33" xfId="662" xr:uid="{3F7D04D9-332B-4063-9F04-0B4C0A29FF1D}"/>
    <cellStyle name="40 % - Accent4 34" xfId="681" xr:uid="{024AD04D-C2FE-4945-A812-BE95966BBF28}"/>
    <cellStyle name="40 % - Accent4 35" xfId="703" xr:uid="{86D7993A-AADC-408A-9C56-2638F2245C9B}"/>
    <cellStyle name="40 % - Accent4 36" xfId="730" xr:uid="{F5A93A91-C42B-47F4-9682-B08980EE92C0}"/>
    <cellStyle name="40 % - Accent4 37" xfId="752" xr:uid="{1087177B-4A18-402C-B3C0-F4175AD84827}"/>
    <cellStyle name="40 % - Accent4 38" xfId="775" xr:uid="{A7EA57C8-ABEB-4BF5-A8C2-469B0CB797E8}"/>
    <cellStyle name="40 % - Accent4 39" xfId="792" xr:uid="{35311C42-A2B0-4127-A119-C80D1E6143EF}"/>
    <cellStyle name="40 % - Accent4 4" xfId="133" xr:uid="{85B6EAFD-6126-4AF9-B0C2-82DB4B295A56}"/>
    <cellStyle name="40 % - Accent4 4 2" xfId="1178" xr:uid="{B0FC68B1-5ADB-4EB2-9F48-E0D0FDA5FB1E}"/>
    <cellStyle name="40 % - Accent4 40" xfId="816" xr:uid="{50114856-A3CE-433D-B0AD-85E19AB19EAE}"/>
    <cellStyle name="40 % - Accent4 41" xfId="835" xr:uid="{87A54C3B-5C9E-4001-B511-17228AEE5E30}"/>
    <cellStyle name="40 % - Accent4 42" xfId="850" xr:uid="{A2166079-F944-4408-804F-D66C329B3D08}"/>
    <cellStyle name="40 % - Accent4 43" xfId="871" xr:uid="{96E1DAD0-1265-469D-8C0E-5E9BEB5BBC40}"/>
    <cellStyle name="40 % - Accent4 44" xfId="886" xr:uid="{3630BBC7-AA97-4774-AA81-976F6C526B3D}"/>
    <cellStyle name="40 % - Accent4 45" xfId="901" xr:uid="{2A696675-D7C8-4CC5-B4E0-29EAA5F8F69C}"/>
    <cellStyle name="40 % - Accent4 46" xfId="915" xr:uid="{ECBC565F-A10B-48CA-BFAF-4763D648169D}"/>
    <cellStyle name="40 % - Accent4 47" xfId="931" xr:uid="{9DDA7286-716B-4AD3-B4F7-1E5793323AE1}"/>
    <cellStyle name="40 % - Accent4 48" xfId="946" xr:uid="{D1A40D53-C773-41F2-99B6-91013B7AAF93}"/>
    <cellStyle name="40 % - Accent4 49" xfId="964" xr:uid="{219CD1C9-6103-49D3-94B5-EA82E500D1ED}"/>
    <cellStyle name="40 % - Accent4 5" xfId="152" xr:uid="{762344EC-BCF8-4A27-B716-8C6DFEA60903}"/>
    <cellStyle name="40 % - Accent4 5 2" xfId="1197" xr:uid="{CFD5BF1B-B314-4593-B283-84E5A9DD5C9F}"/>
    <cellStyle name="40 % - Accent4 50" xfId="980" xr:uid="{196F395B-F785-402B-B185-B74379CC2BE2}"/>
    <cellStyle name="40 % - Accent4 51" xfId="996" xr:uid="{5CE4CEC4-47E7-48B6-8694-E44C07B63BC7}"/>
    <cellStyle name="40 % - Accent4 52" xfId="1012" xr:uid="{181B0C4D-7D36-4F11-89F9-72C811A67478}"/>
    <cellStyle name="40 % - Accent4 53" xfId="1028" xr:uid="{9F4DEA02-350B-4780-AA74-83232EAA8015}"/>
    <cellStyle name="40 % - Accent4 54" xfId="1043" xr:uid="{6A3D7ABD-2AB4-408F-88CA-0022D96C3055}"/>
    <cellStyle name="40 % - Accent4 55" xfId="1062" xr:uid="{11239B83-DAA5-442C-8DC2-CB455FA46E7A}"/>
    <cellStyle name="40 % - Accent4 56" xfId="1081" xr:uid="{63D5F729-7718-4B68-933F-C3B6BF3FE774}"/>
    <cellStyle name="40 % - Accent4 57" xfId="1099" xr:uid="{D1FF5D47-D2FF-467C-8DDA-EAB45FC0AB17}"/>
    <cellStyle name="40 % - Accent4 6" xfId="168" xr:uid="{A96C846B-7F4C-408D-923C-E843047FB6CC}"/>
    <cellStyle name="40 % - Accent4 6 2" xfId="1213" xr:uid="{82E5872C-5D71-4536-9B39-3F2516EBCA46}"/>
    <cellStyle name="40 % - Accent4 7" xfId="179" xr:uid="{626C04C3-EB0A-4BA6-B049-201B6DB94D8C}"/>
    <cellStyle name="40 % - Accent4 7 2" xfId="1224" xr:uid="{E25DB11E-C5CD-421D-B0A0-614CE4FC4DC4}"/>
    <cellStyle name="40 % - Accent4 8" xfId="201" xr:uid="{110C543F-B7E2-431D-8DEA-51FE4B48E289}"/>
    <cellStyle name="40 % - Accent4 8 2" xfId="1246" xr:uid="{84FD4DEE-EC96-4FC4-A07C-46FB5DFA91B7}"/>
    <cellStyle name="40 % - Accent4 9" xfId="214" xr:uid="{EBE2F9EE-545E-4632-9743-C85483D6AEF8}"/>
    <cellStyle name="40 % - Accent4 9 2" xfId="1259" xr:uid="{70264480-2129-4CEE-AB05-B1D59D3FFFB6}"/>
    <cellStyle name="40 % - Accent5" xfId="29" builtinId="47" customBuiltin="1"/>
    <cellStyle name="40 % - Accent5 10" xfId="229" xr:uid="{7A9DDA00-7C2D-4FB6-9357-F0440E074348}"/>
    <cellStyle name="40 % - Accent5 10 2" xfId="1274" xr:uid="{E147E901-C114-4076-8760-AB92900DC987}"/>
    <cellStyle name="40 % - Accent5 11" xfId="239" xr:uid="{BDBCE5EC-6E0A-427A-B816-71E4DF67AC86}"/>
    <cellStyle name="40 % - Accent5 11 2" xfId="1284" xr:uid="{235FD9D7-D4EC-4051-9830-17BCBFF7B2D3}"/>
    <cellStyle name="40 % - Accent5 12" xfId="249" xr:uid="{96B86CF4-7A34-486B-9D57-1BA250C15A37}"/>
    <cellStyle name="40 % - Accent5 12 2" xfId="1294" xr:uid="{487F91E3-0B60-40EC-951D-49515A5C3AA6}"/>
    <cellStyle name="40 % - Accent5 13" xfId="257" xr:uid="{23E3870C-F04C-4F73-A3DB-61DDD5A9DD89}"/>
    <cellStyle name="40 % - Accent5 13 2" xfId="1302" xr:uid="{7DD5CFBF-BD27-468A-87A8-D64FBAA55707}"/>
    <cellStyle name="40 % - Accent5 14" xfId="289" xr:uid="{4A43A2F5-9296-42F8-AA16-F898AE610071}"/>
    <cellStyle name="40 % - Accent5 14 2" xfId="1334" xr:uid="{2F780583-D06E-4F14-A951-4FADB1545B83}"/>
    <cellStyle name="40 % - Accent5 15" xfId="302" xr:uid="{3D72A9CE-86B5-4D61-BCF6-BB00D1E8536B}"/>
    <cellStyle name="40 % - Accent5 15 2" xfId="1347" xr:uid="{6AE1CE3D-7013-4199-B5F5-595233AE7AED}"/>
    <cellStyle name="40 % - Accent5 16" xfId="315" xr:uid="{66699F2C-D481-4374-A8BC-8E1C46ABCB8C}"/>
    <cellStyle name="40 % - Accent5 16 2" xfId="1360" xr:uid="{9F6A8EDF-F58F-4328-B09F-7FFE21C31E8E}"/>
    <cellStyle name="40 % - Accent5 17" xfId="327" xr:uid="{02DF2662-70D6-43DD-AB9B-D42E9ADCC218}"/>
    <cellStyle name="40 % - Accent5 17 2" xfId="1372" xr:uid="{2A647692-07E9-407F-B362-F6209E6041C7}"/>
    <cellStyle name="40 % - Accent5 18" xfId="337" xr:uid="{BFF41A35-17F2-4331-872A-3D8C45A25E2E}"/>
    <cellStyle name="40 % - Accent5 18 2" xfId="1382" xr:uid="{A45D2C73-CBE0-4945-94CC-D18014CDF78D}"/>
    <cellStyle name="40 % - Accent5 19" xfId="347" xr:uid="{54274C32-23AA-428E-82C4-588329C84FF9}"/>
    <cellStyle name="40 % - Accent5 19 2" xfId="1392" xr:uid="{A4FACDCF-6A0B-416E-9A64-BEEE574426AA}"/>
    <cellStyle name="40 % - Accent5 2" xfId="117" xr:uid="{DBC8312A-6E8E-4796-8BE4-2D2DBCCC121A}"/>
    <cellStyle name="40 % - Accent5 2 2" xfId="452" xr:uid="{870D14B5-AA9D-4B63-A02F-08816E7DDAE0}"/>
    <cellStyle name="40 % - Accent5 2 3" xfId="1162" xr:uid="{C3203E21-59A6-422C-990C-79A0BCCFADBB}"/>
    <cellStyle name="40 % - Accent5 20" xfId="355" xr:uid="{7E460C3C-6791-4676-B5EE-D28932A0D000}"/>
    <cellStyle name="40 % - Accent5 20 2" xfId="1400" xr:uid="{45AEE304-3558-498A-8C01-EFDEFA78671E}"/>
    <cellStyle name="40 % - Accent5 21" xfId="385" xr:uid="{099A6A76-40F8-46BF-AE09-2BDFFF4B04F0}"/>
    <cellStyle name="40 % - Accent5 21 2" xfId="1430" xr:uid="{AAA92261-1217-4F9D-A32B-DDB9DF44A993}"/>
    <cellStyle name="40 % - Accent5 22" xfId="397" xr:uid="{B9366C1F-AA95-4F4E-A343-F25FABF91306}"/>
    <cellStyle name="40 % - Accent5 22 2" xfId="1442" xr:uid="{FA7CCBD6-1147-4BA9-ACD7-C4EF27688EBC}"/>
    <cellStyle name="40 % - Accent5 23" xfId="407" xr:uid="{9D362D66-B7CD-4074-A3F5-28590F056724}"/>
    <cellStyle name="40 % - Accent5 23 2" xfId="1452" xr:uid="{23BA7E4E-60E4-4EC5-AC16-CB5F6D37CED6}"/>
    <cellStyle name="40 % - Accent5 24" xfId="417" xr:uid="{ED7CD055-1CE6-43B8-8A57-7BAD95E5B95E}"/>
    <cellStyle name="40 % - Accent5 24 2" xfId="1462" xr:uid="{12807F64-DBE3-4769-9251-7813B7295835}"/>
    <cellStyle name="40 % - Accent5 25" xfId="425" xr:uid="{D5610BE8-B055-4E4C-98E1-FB6818A361EA}"/>
    <cellStyle name="40 % - Accent5 25 2" xfId="1470" xr:uid="{F0EB465D-BEE1-42BB-A17C-0A2F06EED78E}"/>
    <cellStyle name="40 % - Accent5 26" xfId="439" xr:uid="{7F3AFAB6-B204-4F85-B864-7782B3D003A0}"/>
    <cellStyle name="40 % - Accent5 26 2" xfId="1484" xr:uid="{79F148DF-9A56-4A47-A540-46CABE2E0A75}"/>
    <cellStyle name="40 % - Accent5 27" xfId="552" xr:uid="{E79C8B5A-9172-4702-9886-48FF3AFA6D6C}"/>
    <cellStyle name="40 % - Accent5 28" xfId="567" xr:uid="{33CF5998-457F-42BB-A4A1-46E105D22AD8}"/>
    <cellStyle name="40 % - Accent5 29" xfId="589" xr:uid="{B448FF59-05F4-426F-AF50-40184E0E8945}"/>
    <cellStyle name="40 % - Accent5 3" xfId="127" xr:uid="{003400FE-964A-4CCE-A1BF-63EA19EE2B4F}"/>
    <cellStyle name="40 % - Accent5 3 2" xfId="1172" xr:uid="{C125A31F-07E8-41C3-AE67-530273826D0B}"/>
    <cellStyle name="40 % - Accent5 30" xfId="605" xr:uid="{6909DAA9-0853-4504-B363-9DE9323A9A65}"/>
    <cellStyle name="40 % - Accent5 31" xfId="622" xr:uid="{1160E636-B134-43DF-9BB4-5F5E72A308A2}"/>
    <cellStyle name="40 % - Accent5 32" xfId="640" xr:uid="{3C6BF685-127A-408A-8309-5EC3120A0AA2}"/>
    <cellStyle name="40 % - Accent5 33" xfId="664" xr:uid="{4B2E2E70-2A08-4959-A208-4E7C992A0F2B}"/>
    <cellStyle name="40 % - Accent5 34" xfId="684" xr:uid="{A2565412-C421-4BE3-B353-05C67CCA1DF9}"/>
    <cellStyle name="40 % - Accent5 35" xfId="705" xr:uid="{14001490-786A-4270-8647-CD9A50B55347}"/>
    <cellStyle name="40 % - Accent5 36" xfId="732" xr:uid="{3DF054EE-8485-43B9-B44B-F9377BCFBDE1}"/>
    <cellStyle name="40 % - Accent5 37" xfId="755" xr:uid="{98045B11-0657-4253-A8D9-571771EC95B4}"/>
    <cellStyle name="40 % - Accent5 38" xfId="777" xr:uid="{A6106E46-086E-49A7-AFDE-DA168B4D9476}"/>
    <cellStyle name="40 % - Accent5 39" xfId="794" xr:uid="{25283504-3E63-454B-AC4E-8887FFFCFB00}"/>
    <cellStyle name="40 % - Accent5 4" xfId="136" xr:uid="{C90B77F9-2E6C-4E48-802D-9956EC3FEB57}"/>
    <cellStyle name="40 % - Accent5 4 2" xfId="1181" xr:uid="{22EEA672-2767-46FD-973C-0C4C34F3EFCF}"/>
    <cellStyle name="40 % - Accent5 40" xfId="818" xr:uid="{B620ABEA-2365-4EE5-8A4B-67A3961AAEF7}"/>
    <cellStyle name="40 % - Accent5 41" xfId="837" xr:uid="{F87483CD-0AD6-44D4-8DB8-F108B2AE4048}"/>
    <cellStyle name="40 % - Accent5 42" xfId="852" xr:uid="{791AEF61-8E79-4AC8-B405-DA0230AA894C}"/>
    <cellStyle name="40 % - Accent5 43" xfId="873" xr:uid="{421E94F2-E0B0-42BE-B03A-16D3DECC153C}"/>
    <cellStyle name="40 % - Accent5 44" xfId="888" xr:uid="{5ABC5510-84AD-440B-A4BB-6EF931DF0D78}"/>
    <cellStyle name="40 % - Accent5 45" xfId="903" xr:uid="{AE6D996E-59C2-4FBB-A8AA-62103C0224BE}"/>
    <cellStyle name="40 % - Accent5 46" xfId="917" xr:uid="{3DF07598-DBB3-4E95-8822-3E873D15F111}"/>
    <cellStyle name="40 % - Accent5 47" xfId="933" xr:uid="{5C15BD35-FC44-475A-B04C-DD0E95C8F16C}"/>
    <cellStyle name="40 % - Accent5 48" xfId="948" xr:uid="{7C6EC133-D932-4F09-B988-84ACB1DC16CE}"/>
    <cellStyle name="40 % - Accent5 49" xfId="966" xr:uid="{15A24A75-9C19-4734-B686-9428980668BA}"/>
    <cellStyle name="40 % - Accent5 5" xfId="156" xr:uid="{211B6143-7801-4AB3-8AFA-41CEAC2D4BA9}"/>
    <cellStyle name="40 % - Accent5 5 2" xfId="1201" xr:uid="{3D6AB180-3760-40F1-86AC-B9C80DFFA35C}"/>
    <cellStyle name="40 % - Accent5 50" xfId="982" xr:uid="{53C853E2-B2DD-4408-8417-386E879291CD}"/>
    <cellStyle name="40 % - Accent5 51" xfId="998" xr:uid="{BAC0C7A7-53DB-4446-A94F-8BF97D50A2CA}"/>
    <cellStyle name="40 % - Accent5 52" xfId="1014" xr:uid="{CA85DFF0-F5BF-4ACE-BE12-839E41A7AE32}"/>
    <cellStyle name="40 % - Accent5 53" xfId="1030" xr:uid="{39902DAA-1919-4FF3-A62F-0F6159F5DCF6}"/>
    <cellStyle name="40 % - Accent5 54" xfId="1045" xr:uid="{6D1FBE75-DD05-41FC-9F5A-98AB8A358A55}"/>
    <cellStyle name="40 % - Accent5 55" xfId="1064" xr:uid="{E6B0CC26-F253-43D7-8BBB-2070BAFEAA0B}"/>
    <cellStyle name="40 % - Accent5 56" xfId="1083" xr:uid="{8741F76E-CEBA-4129-BB31-AE23CE8BE688}"/>
    <cellStyle name="40 % - Accent5 57" xfId="1101" xr:uid="{71AB154F-93DC-4A24-AB26-4D57F404EC5F}"/>
    <cellStyle name="40 % - Accent5 6" xfId="171" xr:uid="{64C30B83-6EEF-40CF-B36B-0A0BF34400FB}"/>
    <cellStyle name="40 % - Accent5 6 2" xfId="1216" xr:uid="{4B6450D0-2936-4DBE-8FFD-87FDB88CDB84}"/>
    <cellStyle name="40 % - Accent5 7" xfId="182" xr:uid="{B0617C9A-E20E-4A34-AF48-4D6595DA8894}"/>
    <cellStyle name="40 % - Accent5 7 2" xfId="1227" xr:uid="{2CA944B8-13E4-4405-99AB-3CDD82A685CE}"/>
    <cellStyle name="40 % - Accent5 8" xfId="204" xr:uid="{12047119-0257-46CF-B5E2-B45763C462FD}"/>
    <cellStyle name="40 % - Accent5 8 2" xfId="1249" xr:uid="{6F621E04-4F75-47D4-9DE5-E3AAF5BC68CF}"/>
    <cellStyle name="40 % - Accent5 9" xfId="217" xr:uid="{01110501-B95A-4CEA-85C8-5730A66A7C1D}"/>
    <cellStyle name="40 % - Accent5 9 2" xfId="1262" xr:uid="{4B2E91C1-1B1C-4C0C-A542-7B7BC0DA9B5E}"/>
    <cellStyle name="40 % - Accent6" xfId="32" builtinId="51" customBuiltin="1"/>
    <cellStyle name="40 % - Accent6 10" xfId="232" xr:uid="{DD8A017F-8F12-4775-8AF4-6A1C5580148A}"/>
    <cellStyle name="40 % - Accent6 10 2" xfId="1277" xr:uid="{95CDD585-B0D1-499C-A559-94D603055D04}"/>
    <cellStyle name="40 % - Accent6 11" xfId="242" xr:uid="{1D4CE097-4D43-4E39-A4AE-9890ABD9BC01}"/>
    <cellStyle name="40 % - Accent6 11 2" xfId="1287" xr:uid="{A5CECAFC-0D88-41D0-9A6F-6B2C3BCEAC22}"/>
    <cellStyle name="40 % - Accent6 12" xfId="252" xr:uid="{4DCC5DDF-8753-4CA2-A748-AB83FEB1BD17}"/>
    <cellStyle name="40 % - Accent6 12 2" xfId="1297" xr:uid="{F8199E17-82C3-428D-8733-101DFB67765D}"/>
    <cellStyle name="40 % - Accent6 13" xfId="259" xr:uid="{C7C75391-9897-4164-9FFF-13EC9F765DC3}"/>
    <cellStyle name="40 % - Accent6 13 2" xfId="1304" xr:uid="{8D6EA002-1959-4801-ABFE-2EC4F3C7D7A8}"/>
    <cellStyle name="40 % - Accent6 14" xfId="293" xr:uid="{FF84FF4A-3A65-497D-AD2E-D164116F9A68}"/>
    <cellStyle name="40 % - Accent6 14 2" xfId="1338" xr:uid="{57269B60-1D25-4A28-8146-3BCB5A90004C}"/>
    <cellStyle name="40 % - Accent6 15" xfId="306" xr:uid="{0EBFBCDF-4A3A-4805-B8EA-7D313F4C8C3E}"/>
    <cellStyle name="40 % - Accent6 15 2" xfId="1351" xr:uid="{A9C9C99D-E64B-43B9-AEE8-A1724265AE09}"/>
    <cellStyle name="40 % - Accent6 16" xfId="318" xr:uid="{E0097527-7BB5-45E5-9B5E-B770323F6F94}"/>
    <cellStyle name="40 % - Accent6 16 2" xfId="1363" xr:uid="{89E4AC7D-58E1-48DB-8274-D1DD8B212C1E}"/>
    <cellStyle name="40 % - Accent6 17" xfId="330" xr:uid="{35A12A19-7165-4FCD-A3BF-320BC0C6E26C}"/>
    <cellStyle name="40 % - Accent6 17 2" xfId="1375" xr:uid="{D3790339-22E1-4159-A4EE-A3C173D3657C}"/>
    <cellStyle name="40 % - Accent6 18" xfId="340" xr:uid="{304A7C8D-FFA2-4F38-B8A4-7D6E86D57496}"/>
    <cellStyle name="40 % - Accent6 18 2" xfId="1385" xr:uid="{9DE8AECF-3235-4C8E-BBF3-50C4A8B5D380}"/>
    <cellStyle name="40 % - Accent6 19" xfId="350" xr:uid="{C8661F9F-8F4A-473D-AA6B-9182AD113C83}"/>
    <cellStyle name="40 % - Accent6 19 2" xfId="1395" xr:uid="{928AC364-4A22-4F60-A880-BE0F6A9E53DD}"/>
    <cellStyle name="40 % - Accent6 2" xfId="120" xr:uid="{DEBE89A9-76B5-4652-AB22-3606E9F19674}"/>
    <cellStyle name="40 % - Accent6 2 2" xfId="453" xr:uid="{AEE74E8A-6B31-41FA-94A0-D7186189CDF0}"/>
    <cellStyle name="40 % - Accent6 2 3" xfId="1165" xr:uid="{0AC2E182-5B6B-475E-BED8-C7989682A754}"/>
    <cellStyle name="40 % - Accent6 20" xfId="357" xr:uid="{4A9EC9D9-2C32-4C0E-884E-21EECB49CF46}"/>
    <cellStyle name="40 % - Accent6 20 2" xfId="1402" xr:uid="{95096D53-BA08-4C9F-AE83-4F469FCA773F}"/>
    <cellStyle name="40 % - Accent6 21" xfId="388" xr:uid="{6FC39305-51CD-4346-98AF-DFEAFF2EA5C4}"/>
    <cellStyle name="40 % - Accent6 21 2" xfId="1433" xr:uid="{6C632968-67B7-4B41-9AF2-33D0DFC64183}"/>
    <cellStyle name="40 % - Accent6 22" xfId="400" xr:uid="{EEC5974E-6BB8-4B8E-939C-063C367367AD}"/>
    <cellStyle name="40 % - Accent6 22 2" xfId="1445" xr:uid="{768AEDF9-AEC4-4F08-8AB6-3B70F9C89166}"/>
    <cellStyle name="40 % - Accent6 23" xfId="410" xr:uid="{FA66CBCD-EC31-4D11-AA1B-9DA07352284C}"/>
    <cellStyle name="40 % - Accent6 23 2" xfId="1455" xr:uid="{15A2A957-48FF-4E2A-B9D8-FB894C28ED3A}"/>
    <cellStyle name="40 % - Accent6 24" xfId="420" xr:uid="{931A086A-9422-422E-8929-B2234CBF7E57}"/>
    <cellStyle name="40 % - Accent6 24 2" xfId="1465" xr:uid="{52E41073-6699-4509-924D-9B746CFE6E16}"/>
    <cellStyle name="40 % - Accent6 25" xfId="427" xr:uid="{6CDB8E8C-C34B-4EFA-9E0D-428A2E2E3CDE}"/>
    <cellStyle name="40 % - Accent6 25 2" xfId="1472" xr:uid="{0067433A-93E3-4BE5-A32D-321EA5069C0F}"/>
    <cellStyle name="40 % - Accent6 26" xfId="441" xr:uid="{C306C56F-F339-4FE9-A39B-D67DF84A471D}"/>
    <cellStyle name="40 % - Accent6 26 2" xfId="1486" xr:uid="{8F14D1C6-685F-4FB0-8727-EAC472B35552}"/>
    <cellStyle name="40 % - Accent6 27" xfId="554" xr:uid="{3B1E55C4-5A9D-49AC-8562-44CCCC5F4BF5}"/>
    <cellStyle name="40 % - Accent6 28" xfId="569" xr:uid="{ED8126BB-37FF-4197-9C1D-1838E475AD4A}"/>
    <cellStyle name="40 % - Accent6 29" xfId="591" xr:uid="{1462DE82-B7C6-41CB-90D0-FF6BC18574BB}"/>
    <cellStyle name="40 % - Accent6 3" xfId="130" xr:uid="{B971A6FA-BBC8-49B7-8B9D-CDC062E069A9}"/>
    <cellStyle name="40 % - Accent6 3 2" xfId="1175" xr:uid="{5D4B006A-4506-4170-A7B9-E5987BA14002}"/>
    <cellStyle name="40 % - Accent6 30" xfId="607" xr:uid="{92A05948-5681-439C-86F3-896D78DE1A72}"/>
    <cellStyle name="40 % - Accent6 31" xfId="624" xr:uid="{286FA3AC-5FCC-4D7E-B4A8-41C604BBE888}"/>
    <cellStyle name="40 % - Accent6 32" xfId="642" xr:uid="{2170DD72-C7BE-4ACA-A943-8BC6ECF233A4}"/>
    <cellStyle name="40 % - Accent6 33" xfId="666" xr:uid="{3BA4C0D4-AA3E-44CE-8C52-AAA3AFF9548C}"/>
    <cellStyle name="40 % - Accent6 34" xfId="687" xr:uid="{A59B1B92-68FD-4A72-9225-96E65B16D090}"/>
    <cellStyle name="40 % - Accent6 35" xfId="707" xr:uid="{35A7126F-4BFB-448E-AC2E-93309A80577D}"/>
    <cellStyle name="40 % - Accent6 36" xfId="735" xr:uid="{2EA2FDFC-DDEB-4070-8101-3AA9C4C23FCF}"/>
    <cellStyle name="40 % - Accent6 37" xfId="757" xr:uid="{03CA0E64-7ECF-40FE-9A52-51AB12862BA1}"/>
    <cellStyle name="40 % - Accent6 38" xfId="780" xr:uid="{DB4921A0-CACC-4ADE-A7B2-73FC445B9D87}"/>
    <cellStyle name="40 % - Accent6 39" xfId="796" xr:uid="{564A9D12-0095-46E1-AA90-B432A06F34AD}"/>
    <cellStyle name="40 % - Accent6 4" xfId="140" xr:uid="{D80A28E6-E9B4-46E8-BB04-3FDCBF1E97AB}"/>
    <cellStyle name="40 % - Accent6 4 2" xfId="1185" xr:uid="{A9DB8E10-7C3D-483F-BA45-F8679EC294CF}"/>
    <cellStyle name="40 % - Accent6 40" xfId="820" xr:uid="{E2452C66-9456-4FDF-9D36-CAA5567C54BB}"/>
    <cellStyle name="40 % - Accent6 41" xfId="839" xr:uid="{260E8802-D9AE-48FC-9E59-82D8DB64DBF6}"/>
    <cellStyle name="40 % - Accent6 42" xfId="854" xr:uid="{CEE8B22E-925A-494C-84B4-171C131FC67A}"/>
    <cellStyle name="40 % - Accent6 43" xfId="875" xr:uid="{80722FA1-ED2E-4589-A786-AA759378000A}"/>
    <cellStyle name="40 % - Accent6 44" xfId="890" xr:uid="{7D4EADB8-B5BB-4395-87AE-102632FB53CA}"/>
    <cellStyle name="40 % - Accent6 45" xfId="905" xr:uid="{6AF66999-8B51-4283-B988-3D2BE9C42818}"/>
    <cellStyle name="40 % - Accent6 46" xfId="919" xr:uid="{865D0531-0D6C-4B5C-BF20-CC79132C3967}"/>
    <cellStyle name="40 % - Accent6 47" xfId="935" xr:uid="{D261E57C-0160-4749-97A1-E150CFA0C475}"/>
    <cellStyle name="40 % - Accent6 48" xfId="950" xr:uid="{590F6B60-2458-49CF-89A1-5C058FD8CAF5}"/>
    <cellStyle name="40 % - Accent6 49" xfId="968" xr:uid="{D445DDC1-F34F-45FB-B4A8-FA2BE8D16D0A}"/>
    <cellStyle name="40 % - Accent6 5" xfId="160" xr:uid="{735A431C-BBB8-4B56-A501-CD0CD110B0C0}"/>
    <cellStyle name="40 % - Accent6 5 2" xfId="1205" xr:uid="{5F116284-904A-42EE-8E2F-F47B339610A4}"/>
    <cellStyle name="40 % - Accent6 50" xfId="984" xr:uid="{572E81D5-B7BF-427B-A49D-8DBB018FF423}"/>
    <cellStyle name="40 % - Accent6 51" xfId="1000" xr:uid="{FFD0B9C4-B175-4A43-ADEE-8D02C85202E4}"/>
    <cellStyle name="40 % - Accent6 52" xfId="1016" xr:uid="{75DBF868-31C4-44E5-A3D4-54FA76DAD454}"/>
    <cellStyle name="40 % - Accent6 53" xfId="1032" xr:uid="{E606AB98-56A5-4CF1-889E-2F69A72719F6}"/>
    <cellStyle name="40 % - Accent6 54" xfId="1047" xr:uid="{5DE9004D-E020-4071-9E95-3E9C14C9F530}"/>
    <cellStyle name="40 % - Accent6 55" xfId="1066" xr:uid="{BB34CBFC-DFC8-41D9-AAAF-BD7201FFDA29}"/>
    <cellStyle name="40 % - Accent6 56" xfId="1085" xr:uid="{24F185A3-FB57-4012-84A5-6E1D3E0548E3}"/>
    <cellStyle name="40 % - Accent6 57" xfId="1103" xr:uid="{39E34756-6835-4CC4-8706-316CABA71DEB}"/>
    <cellStyle name="40 % - Accent6 6" xfId="174" xr:uid="{8DC96338-C7C4-4058-8814-6E6306B9216E}"/>
    <cellStyle name="40 % - Accent6 6 2" xfId="1219" xr:uid="{1E473F83-9E5E-4030-9843-793AEDDE44C9}"/>
    <cellStyle name="40 % - Accent6 7" xfId="185" xr:uid="{52F37A54-3859-4F9C-8403-8A26FFF399C4}"/>
    <cellStyle name="40 % - Accent6 7 2" xfId="1230" xr:uid="{34369FC8-CFA2-4FDD-8DC1-5B428E5D94D6}"/>
    <cellStyle name="40 % - Accent6 8" xfId="208" xr:uid="{12D3D713-DFAF-4C2B-BE08-9EF4DB19BEFF}"/>
    <cellStyle name="40 % - Accent6 8 2" xfId="1253" xr:uid="{1A3F4920-0D50-45DD-B753-4BF0073DCE5E}"/>
    <cellStyle name="40 % - Accent6 9" xfId="220" xr:uid="{6E930DB2-71D2-4154-9D81-F64F8D9F6F13}"/>
    <cellStyle name="40 % - Accent6 9 2" xfId="1265" xr:uid="{B2458465-7789-49C9-9CCA-72864DEE3175}"/>
    <cellStyle name="60 % - Accent1 2" xfId="454" xr:uid="{A2D1C46D-D488-47DB-AED7-37B258E7688D}"/>
    <cellStyle name="60 % - Accent1 3" xfId="38" xr:uid="{3FAB3347-A1EA-42D1-B104-99969F984672}"/>
    <cellStyle name="60 % - Accent2 2" xfId="455" xr:uid="{3B320136-D7B2-45A9-8E62-3308FEC2725F}"/>
    <cellStyle name="60 % - Accent2 3" xfId="39" xr:uid="{E104626E-9250-4F51-B09B-8B0154272E26}"/>
    <cellStyle name="60 % - Accent3 2" xfId="456" xr:uid="{35E67880-3118-4AA8-96EB-465495D9B3FA}"/>
    <cellStyle name="60 % - Accent3 3" xfId="40" xr:uid="{F6A4C81D-FAB2-4C3F-9B44-1C935E76B07B}"/>
    <cellStyle name="60 % - Accent4 2" xfId="457" xr:uid="{CBA73FEC-C727-4BA5-BA89-DA02E2D41FEE}"/>
    <cellStyle name="60 % - Accent4 3" xfId="41" xr:uid="{5890384C-F6A3-4EA8-92BD-F8FBC2CCE4C9}"/>
    <cellStyle name="60 % - Accent5 2" xfId="458" xr:uid="{214D7C72-5319-40D3-B101-6E3DDF98647B}"/>
    <cellStyle name="60 % - Accent5 3" xfId="42" xr:uid="{07AE60BA-73CC-42BD-A3F5-FC92CFC5CF78}"/>
    <cellStyle name="60 % - Accent6 2" xfId="459" xr:uid="{44B8178B-24E5-4FF9-BCF2-BCC44B046F49}"/>
    <cellStyle name="60 % - Accent6 3" xfId="43" xr:uid="{BEC0B9A4-B75B-40FF-A027-431E2E704CCB}"/>
    <cellStyle name="Accent1" xfId="15" builtinId="29" customBuiltin="1"/>
    <cellStyle name="Accent1 2" xfId="460" xr:uid="{C585D3E3-74A5-400D-8EE9-933D4CF087F3}"/>
    <cellStyle name="Accent2" xfId="18" builtinId="33" customBuiltin="1"/>
    <cellStyle name="Accent2 2" xfId="461" xr:uid="{EC68BD05-7430-4839-A1E6-5C67BB736812}"/>
    <cellStyle name="Accent3" xfId="21" builtinId="37" customBuiltin="1"/>
    <cellStyle name="Accent3 2" xfId="462" xr:uid="{37AA4C50-9E39-4445-9CEE-3C2E846A1E80}"/>
    <cellStyle name="Accent4" xfId="24" builtinId="41" customBuiltin="1"/>
    <cellStyle name="Accent4 2" xfId="463" xr:uid="{879B11BA-1F3A-417B-8C79-19E59401E40D}"/>
    <cellStyle name="Accent5" xfId="27" builtinId="45" customBuiltin="1"/>
    <cellStyle name="Accent5 2" xfId="464" xr:uid="{B4BFAF9F-9CE0-4FEB-BFFC-0FF20B783952}"/>
    <cellStyle name="Accent6" xfId="30" builtinId="49" customBuiltin="1"/>
    <cellStyle name="Accent6 2" xfId="465" xr:uid="{39A696BF-6752-4990-9654-2411386B8DDC}"/>
    <cellStyle name="Avertissement" xfId="12" builtinId="11" customBuiltin="1"/>
    <cellStyle name="Avertissement 2" xfId="466" xr:uid="{CD6E4586-8B95-4994-A424-AD27194F6EFA}"/>
    <cellStyle name="Calcul" xfId="9" builtinId="22" customBuiltin="1"/>
    <cellStyle name="Calcul 2" xfId="467" xr:uid="{0C3BBDB9-B071-421A-9176-51084B76802F}"/>
    <cellStyle name="Cellule liée" xfId="10" builtinId="24" customBuiltin="1"/>
    <cellStyle name="Cellule liée 2" xfId="468" xr:uid="{8873FEA1-7D10-4329-AAF6-4BDBF8CBBD15}"/>
    <cellStyle name="Commentaire 10" xfId="78" xr:uid="{5C81591B-DAF1-42AB-B2B6-B91919359AC5}"/>
    <cellStyle name="Commentaire 10 2" xfId="1123" xr:uid="{2C5D20C2-E0F6-4144-BD73-0056FCCD8023}"/>
    <cellStyle name="Commentaire 11" xfId="70" xr:uid="{8148E1AB-BEAB-4B96-B541-AAB94FF4B85E}"/>
    <cellStyle name="Commentaire 11 2" xfId="1115" xr:uid="{53569DFB-A598-47D8-B99E-1B52D546AC76}"/>
    <cellStyle name="Commentaire 12" xfId="75" xr:uid="{901098DF-2824-4A37-86DD-A19DBB1A3A1F}"/>
    <cellStyle name="Commentaire 12 2" xfId="1120" xr:uid="{FA280C40-F7BB-4E14-A3F2-F132130AF404}"/>
    <cellStyle name="Commentaire 13" xfId="82" xr:uid="{A51D8EBE-DD09-4921-A149-D23FCD024334}"/>
    <cellStyle name="Commentaire 13 2" xfId="1127" xr:uid="{08F579DE-0720-441E-9D4A-CA6B64756BB2}"/>
    <cellStyle name="Commentaire 14" xfId="84" xr:uid="{AD52EC04-EDFD-4648-BB21-7EAF39C97CC4}"/>
    <cellStyle name="Commentaire 14 2" xfId="1129" xr:uid="{B99FAA03-AF4E-43E7-8FC8-2432817DC786}"/>
    <cellStyle name="Commentaire 15" xfId="86" xr:uid="{4D37A062-0779-4841-933F-373DBE32B6F1}"/>
    <cellStyle name="Commentaire 15 2" xfId="1131" xr:uid="{FF0D35D0-D017-4AA6-9115-BAB36B5D51E7}"/>
    <cellStyle name="Commentaire 16" xfId="89" xr:uid="{F738BFC0-E4F2-4024-9715-7077C712AF47}"/>
    <cellStyle name="Commentaire 16 2" xfId="1134" xr:uid="{F386FB85-4A20-4094-B616-D3BD43600D7A}"/>
    <cellStyle name="Commentaire 17" xfId="88" xr:uid="{59CF4340-1DE2-4815-A77D-26F5BE408AEC}"/>
    <cellStyle name="Commentaire 17 2" xfId="1133" xr:uid="{13E21DD8-16CC-437C-9388-1B7FFE806CEB}"/>
    <cellStyle name="Commentaire 18" xfId="90" xr:uid="{BB72AAD2-0FBD-4D9E-9BE9-ED0152D4E5FD}"/>
    <cellStyle name="Commentaire 18 2" xfId="1135" xr:uid="{A0CC4DBF-4BCA-4CA5-A41B-13B94386D138}"/>
    <cellStyle name="Commentaire 19" xfId="97" xr:uid="{9ABD14D0-CDAA-40DD-BB76-4CC4FAB59CEE}"/>
    <cellStyle name="Commentaire 19 2" xfId="1142" xr:uid="{EB892E76-1E77-4DC4-BD6A-7B31D7724ED0}"/>
    <cellStyle name="Commentaire 2" xfId="61" xr:uid="{86437E92-054E-4CE3-B041-EF5364274B8D}"/>
    <cellStyle name="Commentaire 2 2" xfId="469" xr:uid="{2FF09BF2-1154-4C7A-BC8B-45C84285E441}"/>
    <cellStyle name="Commentaire 2 3" xfId="1106" xr:uid="{5BA2D0C9-4A10-4FA8-93C9-B8463ED0F940}"/>
    <cellStyle name="Commentaire 20" xfId="96" xr:uid="{3A168ACC-C289-47CE-BD6C-FAA9C36D4746}"/>
    <cellStyle name="Commentaire 20 2" xfId="1141" xr:uid="{A0F51CE4-370C-4BF8-8F90-83E77FC06293}"/>
    <cellStyle name="Commentaire 21" xfId="93" xr:uid="{56888A10-A850-4009-AC69-1C29D53A62DC}"/>
    <cellStyle name="Commentaire 21 2" xfId="1138" xr:uid="{5983ED69-ACC9-4862-A7C2-D83D0A730A69}"/>
    <cellStyle name="Commentaire 22" xfId="134" xr:uid="{7721C54A-35DB-43FC-8B8E-8A5FB2B76A9A}"/>
    <cellStyle name="Commentaire 22 2" xfId="1179" xr:uid="{083981C5-6F50-453E-A821-FD0A24A7A638}"/>
    <cellStyle name="Commentaire 23" xfId="154" xr:uid="{D7B5D0ED-63A1-4DD8-A62F-8FBC8FBF6E50}"/>
    <cellStyle name="Commentaire 23 2" xfId="1199" xr:uid="{9823E01F-BBC0-48F3-908A-407C10E2165C}"/>
    <cellStyle name="Commentaire 24" xfId="158" xr:uid="{F8B66861-87A5-4DE4-86B3-D4411EB57942}"/>
    <cellStyle name="Commentaire 24 2" xfId="1203" xr:uid="{B3F9DBE8-B7A2-4AED-A906-408A33CE6B45}"/>
    <cellStyle name="Commentaire 25" xfId="144" xr:uid="{E528EFE8-EF5F-489C-8DAE-27FAD722FFFD}"/>
    <cellStyle name="Commentaire 25 2" xfId="1189" xr:uid="{20DCF4C5-8259-47AF-9D1E-F86C64EEA58D}"/>
    <cellStyle name="Commentaire 26" xfId="165" xr:uid="{413E0BC0-6F10-4619-8737-42D9D45E2946}"/>
    <cellStyle name="Commentaire 26 2" xfId="1210" xr:uid="{5FB07B8C-F5EE-4C22-ADE3-ABA72A2B352C}"/>
    <cellStyle name="Commentaire 27" xfId="183" xr:uid="{88496CB2-7D1F-455B-A938-16084243104C}"/>
    <cellStyle name="Commentaire 27 2" xfId="1228" xr:uid="{84E3681A-94AD-4CFE-8420-E7563DF68EA2}"/>
    <cellStyle name="Commentaire 28" xfId="143" xr:uid="{53557F7B-56A0-48EF-9BFB-E7382082F55F}"/>
    <cellStyle name="Commentaire 28 2" xfId="1188" xr:uid="{019CC853-9972-478A-916B-BF30D5E24114}"/>
    <cellStyle name="Commentaire 29" xfId="186" xr:uid="{4F5045C7-3FA4-4F27-9409-A667F0DC3BAE}"/>
    <cellStyle name="Commentaire 29 2" xfId="1231" xr:uid="{4696E5D9-422F-4C76-802B-F191FB9AFB4C}"/>
    <cellStyle name="Commentaire 3" xfId="66" xr:uid="{5ABEF20A-B1BE-45B7-87A4-75D0E270421B}"/>
    <cellStyle name="Commentaire 3 2" xfId="1111" xr:uid="{8E9C1DE9-BB06-4F7C-82E9-C2C2436AF745}"/>
    <cellStyle name="Commentaire 30" xfId="206" xr:uid="{3D24D950-137F-4E4D-9D1A-D430EDC42AAE}"/>
    <cellStyle name="Commentaire 30 2" xfId="1251" xr:uid="{ADB51EF5-785A-47C9-807E-D935E7F540DC}"/>
    <cellStyle name="Commentaire 31" xfId="269" xr:uid="{2A646D16-9E77-4610-9201-ECA7A27C545D}"/>
    <cellStyle name="Commentaire 31 2" xfId="1314" xr:uid="{F79F7CD4-DE03-4E46-96BB-FC078D42EC58}"/>
    <cellStyle name="Commentaire 32" xfId="268" xr:uid="{67226F92-EE0C-4CDC-A3CC-680490AB17BE}"/>
    <cellStyle name="Commentaire 32 2" xfId="1313" xr:uid="{FF1E35AC-0CD5-4C33-B928-45E8CA521A63}"/>
    <cellStyle name="Commentaire 33" xfId="265" xr:uid="{73CE34E1-1867-4E58-B35A-E1A51B244F5E}"/>
    <cellStyle name="Commentaire 33 2" xfId="1310" xr:uid="{0D21E5D9-D519-4DF2-AF51-1386B0B0A5E4}"/>
    <cellStyle name="Commentaire 34" xfId="263" xr:uid="{E9578A5A-4F19-4B84-86E0-C92D57C26710}"/>
    <cellStyle name="Commentaire 34 2" xfId="1308" xr:uid="{20CF2E82-B355-4C07-B7ED-EBFF4CC746B7}"/>
    <cellStyle name="Commentaire 35" xfId="270" xr:uid="{8E5A2BF4-C2BE-49D1-B583-5B37E69DC689}"/>
    <cellStyle name="Commentaire 35 2" xfId="1315" xr:uid="{56F55A9B-61A4-46BA-9FAD-9FA36B018BD4}"/>
    <cellStyle name="Commentaire 36" xfId="291" xr:uid="{DB9E3AF3-57CB-4BD3-956F-45B17C9E1EC4}"/>
    <cellStyle name="Commentaire 36 2" xfId="1336" xr:uid="{F8DE3781-A2EA-473C-BA4A-EC07A9EBC117}"/>
    <cellStyle name="Commentaire 37" xfId="304" xr:uid="{85D985A2-7902-4010-8D84-0A9D8A38FAC0}"/>
    <cellStyle name="Commentaire 37 2" xfId="1349" xr:uid="{145744E4-4E09-4C68-A0B6-C37B89F2A5F2}"/>
    <cellStyle name="Commentaire 38" xfId="366" xr:uid="{AC123782-1EDC-4463-BCBF-35AC10F42920}"/>
    <cellStyle name="Commentaire 38 2" xfId="1411" xr:uid="{AF75F89C-5626-4D66-8F71-F001AA13AE08}"/>
    <cellStyle name="Commentaire 39" xfId="365" xr:uid="{530CDFC4-47FB-47F2-8FCE-5401709B73C1}"/>
    <cellStyle name="Commentaire 39 2" xfId="1410" xr:uid="{E3E1FA3B-D4D1-494D-94C9-1E7DC458275D}"/>
    <cellStyle name="Commentaire 4" xfId="69" xr:uid="{9CF438F9-0E47-462F-97D3-718E47243092}"/>
    <cellStyle name="Commentaire 4 2" xfId="1114" xr:uid="{935C31FD-B483-40CF-82CA-790D0EA0F77C}"/>
    <cellStyle name="Commentaire 40" xfId="362" xr:uid="{0F6AA596-C5A0-4B7A-B3F1-FDD4469A471F}"/>
    <cellStyle name="Commentaire 40 2" xfId="1407" xr:uid="{F4EA5D28-AE36-4A74-9E17-0A6772B4F675}"/>
    <cellStyle name="Commentaire 41" xfId="360" xr:uid="{45BBEC9B-D5C2-43A8-8033-8476D0346614}"/>
    <cellStyle name="Commentaire 41 2" xfId="1405" xr:uid="{BA7213B0-5E2E-43B2-A437-C4C307A85671}"/>
    <cellStyle name="Commentaire 42" xfId="367" xr:uid="{71479E90-83E4-42F7-9E10-D9B580728FE1}"/>
    <cellStyle name="Commentaire 42 2" xfId="1412" xr:uid="{40AFE836-DA7F-4494-9F15-F9582E2BCC87}"/>
    <cellStyle name="Commentaire 43" xfId="429" xr:uid="{7D29B2FE-E8A7-42AC-9ED5-6CBA89E99114}"/>
    <cellStyle name="Commentaire 43 2" xfId="1474" xr:uid="{E7E31F95-EF22-4B6B-9A78-EE8605C56D56}"/>
    <cellStyle name="Commentaire 44" xfId="542" xr:uid="{F919DC90-88B7-4509-BC57-012C138FB49A}"/>
    <cellStyle name="Commentaire 45" xfId="557" xr:uid="{F5948D28-81F2-4623-8032-C7150B4E5443}"/>
    <cellStyle name="Commentaire 46" xfId="577" xr:uid="{9281E609-E78F-48E7-B2B2-729CE634113D}"/>
    <cellStyle name="Commentaire 47" xfId="595" xr:uid="{BD0A2B19-DD6C-402F-A60C-8800E250C660}"/>
    <cellStyle name="Commentaire 48" xfId="612" xr:uid="{1B61F144-65DF-40D3-88B4-D1E7C12A27DE}"/>
    <cellStyle name="Commentaire 49" xfId="630" xr:uid="{70763AA6-7729-44AF-89FD-171BE7FA8982}"/>
    <cellStyle name="Commentaire 5" xfId="74" xr:uid="{6DB69BD5-CCC2-45D7-BE6F-82E7F25DE091}"/>
    <cellStyle name="Commentaire 5 2" xfId="1119" xr:uid="{E2E23ACF-711C-4F27-8C2F-F5B5FA308015}"/>
    <cellStyle name="Commentaire 50" xfId="654" xr:uid="{13C88D75-6238-4E3D-94E2-D224199C61A1}"/>
    <cellStyle name="Commentaire 51" xfId="672" xr:uid="{20F5C833-A664-4842-8A51-7641EF72C0C5}"/>
    <cellStyle name="Commentaire 52" xfId="695" xr:uid="{0340561B-5D72-423F-A3AE-451ABE352EBB}"/>
    <cellStyle name="Commentaire 53" xfId="720" xr:uid="{4BFC3ADA-EFA2-4DBF-9577-C8A48758CF7E}"/>
    <cellStyle name="Commentaire 54" xfId="742" xr:uid="{BEC8EFF5-FE14-4FA3-8310-DEA94E4D9370}"/>
    <cellStyle name="Commentaire 55" xfId="766" xr:uid="{0201A118-68BE-4D80-A1EA-9F04706B5D17}"/>
    <cellStyle name="Commentaire 56" xfId="784" xr:uid="{6AACC6BA-B4B0-4A20-B217-037640A3C58E}"/>
    <cellStyle name="Commentaire 57" xfId="807" xr:uid="{4E17BD89-51B2-4720-9496-D5F7F620A5E2}"/>
    <cellStyle name="Commentaire 58" xfId="827" xr:uid="{B2885E98-04BA-4BCC-BE44-FB6B14480DF6}"/>
    <cellStyle name="Commentaire 59" xfId="842" xr:uid="{595910DD-557A-4EED-8524-F6500D40A273}"/>
    <cellStyle name="Commentaire 6" xfId="76" xr:uid="{2300FABC-9F79-4BF0-867A-D1249A4C2480}"/>
    <cellStyle name="Commentaire 6 2" xfId="1121" xr:uid="{11C20646-5A66-4BF6-9EC9-3BFD580EAABF}"/>
    <cellStyle name="Commentaire 60" xfId="863" xr:uid="{D8010E10-7452-49D2-A006-89AA7EC32933}"/>
    <cellStyle name="Commentaire 61" xfId="878" xr:uid="{F71F3E85-3C8E-45C7-A344-22791ECCA17E}"/>
    <cellStyle name="Commentaire 62" xfId="893" xr:uid="{4F77988D-D57B-4E84-AE6A-8B93F93FEE68}"/>
    <cellStyle name="Commentaire 63" xfId="907" xr:uid="{E543AA53-181C-4001-8137-80CBBFECCA7A}"/>
    <cellStyle name="Commentaire 64" xfId="923" xr:uid="{75C9B980-7BD4-422D-9554-6979231AD0DF}"/>
    <cellStyle name="Commentaire 65" xfId="938" xr:uid="{AD902CFB-8E66-4318-BB6A-3B1847405BDB}"/>
    <cellStyle name="Commentaire 66" xfId="956" xr:uid="{D91C8047-5265-46B2-A493-D5DE85C4C86B}"/>
    <cellStyle name="Commentaire 67" xfId="972" xr:uid="{F62599CD-B0D5-46F4-B500-337E5C257EB9}"/>
    <cellStyle name="Commentaire 68" xfId="987" xr:uid="{880CC23A-3959-4E8A-BC80-6A7BDE26B9F7}"/>
    <cellStyle name="Commentaire 69" xfId="1004" xr:uid="{E98D9FE6-5C91-41F8-B6D0-BB57F8E8A062}"/>
    <cellStyle name="Commentaire 7" xfId="65" xr:uid="{1A0ED322-082D-4C25-BD27-85EE3F4D219A}"/>
    <cellStyle name="Commentaire 7 2" xfId="1110" xr:uid="{CB035EB1-89B5-49DF-909F-F3FE882FE50C}"/>
    <cellStyle name="Commentaire 70" xfId="1020" xr:uid="{C331AE3F-396B-45E9-B720-842C44EACD26}"/>
    <cellStyle name="Commentaire 71" xfId="1035" xr:uid="{DA769C61-DB32-42AD-9B87-C2EE15CD8B02}"/>
    <cellStyle name="Commentaire 72" xfId="1053" xr:uid="{278BA6AA-7470-4AA2-914E-12127921C476}"/>
    <cellStyle name="Commentaire 73" xfId="1072" xr:uid="{119828D2-9F5E-4FE8-83C4-733F37FE3266}"/>
    <cellStyle name="Commentaire 8" xfId="73" xr:uid="{7F092864-5D56-4E26-A1F3-3B6DB6E96F54}"/>
    <cellStyle name="Commentaire 8 2" xfId="1118" xr:uid="{BB73133B-B4B6-424F-8D4D-C9E3927CB435}"/>
    <cellStyle name="Commentaire 9" xfId="80" xr:uid="{59E10274-B0C1-4BB9-AB21-91BA07977F1C}"/>
    <cellStyle name="Commentaire 9 2" xfId="1125" xr:uid="{51FC4E74-BFFC-4880-8BEC-E4B5AB71E57E}"/>
    <cellStyle name="Entrée" xfId="7" builtinId="20" customBuiltin="1"/>
    <cellStyle name="Entrée 2" xfId="470" xr:uid="{EA89FE2C-D1AB-4400-B066-1A8B286ECC51}"/>
    <cellStyle name="Euro" xfId="44" xr:uid="{1CAE4883-10E2-45B8-A604-80E6BE06F4C0}"/>
    <cellStyle name="Euro 2" xfId="51" xr:uid="{DCB14718-6283-45AE-87C4-667ED5F7DEC8}"/>
    <cellStyle name="Grey" xfId="52" xr:uid="{27980A34-5764-44A8-A8D8-03B45109210C}"/>
    <cellStyle name="Header1" xfId="53" xr:uid="{A5D16026-629F-43CE-8F49-136201A58CE0}"/>
    <cellStyle name="Header2" xfId="54" xr:uid="{3126ADB0-5432-4471-AE8C-F6DFF1E64B4A}"/>
    <cellStyle name="Input [yellow]" xfId="55" xr:uid="{17241FEE-079A-406A-9F90-0AACC07C502D}"/>
    <cellStyle name="Input_AMENSSIF POLY" xfId="56" xr:uid="{89D7336C-6CF7-41FE-B631-E0584F515EE1}"/>
    <cellStyle name="Insatisfaisant" xfId="6" builtinId="27" customBuiltin="1"/>
    <cellStyle name="Insatisfaisant 2" xfId="471" xr:uid="{6DAC5B1E-C43E-4E1D-A0D3-6B069DDD0A7B}"/>
    <cellStyle name="Milliers 2" xfId="45" xr:uid="{01EAB374-B21B-49FB-953A-BA506C637DD3}"/>
    <cellStyle name="Milliers 2 10" xfId="1688" xr:uid="{090F95AD-2AB4-4736-9EC8-E2EA05986096}"/>
    <cellStyle name="Milliers 2 10 2" xfId="1909" xr:uid="{F5D42F44-C38D-4172-966C-075F5F5F5F5E}"/>
    <cellStyle name="Milliers 2 11" xfId="1753" xr:uid="{6C9EC74E-FC14-4FE5-AFF3-312613E5DE01}"/>
    <cellStyle name="Milliers 2 2" xfId="1502" xr:uid="{EE85DB0A-29EA-41AC-B399-CF62C30901B1}"/>
    <cellStyle name="Milliers 2 2 10" xfId="1758" xr:uid="{E51F0EBD-DB07-4B35-8580-EB0C85DA85C3}"/>
    <cellStyle name="Milliers 2 2 2" xfId="1518" xr:uid="{219A37E8-EC18-4987-81CA-0BD7CDCBDE57}"/>
    <cellStyle name="Milliers 2 2 2 2" xfId="1536" xr:uid="{EB064E8B-9C39-4770-B2D3-C8362C2C3DD2}"/>
    <cellStyle name="Milliers 2 2 2 2 2" xfId="1552" xr:uid="{50DFF9A3-B615-4137-A311-CE0D8BE20CF6}"/>
    <cellStyle name="Milliers 2 2 2 2 2 2" xfId="1578" xr:uid="{60F8C0EF-2AF1-411A-BDC3-C1A2071FAEF7}"/>
    <cellStyle name="Milliers 2 2 2 2 2 2 2" xfId="1631" xr:uid="{EEAC9067-BFC3-4DFD-A3C5-0939DDCF61C6}"/>
    <cellStyle name="Milliers 2 2 2 2 2 2 2 2" xfId="1859" xr:uid="{AFBDDA67-169D-4C66-8FFA-0F8C10C27359}"/>
    <cellStyle name="Milliers 2 2 2 2 2 2 3" xfId="1685" xr:uid="{8743F541-3E52-4C8C-A3D0-61D29FD7F624}"/>
    <cellStyle name="Milliers 2 2 2 2 2 2 3 2" xfId="1907" xr:uid="{1249048A-E75E-4879-86A7-989CB5F17195}"/>
    <cellStyle name="Milliers 2 2 2 2 2 2 4" xfId="1737" xr:uid="{53669F4C-9787-4DAE-B31A-CF2628B50C97}"/>
    <cellStyle name="Milliers 2 2 2 2 2 2 4 2" xfId="1956" xr:uid="{4C9A2551-EF8C-410C-AF93-DB906A3CD040}"/>
    <cellStyle name="Milliers 2 2 2 2 2 2 5" xfId="1811" xr:uid="{3F02055D-3557-4DFE-A6B7-4A4CD912D5B0}"/>
    <cellStyle name="Milliers 2 2 2 2 2 3" xfId="1606" xr:uid="{CCDED1E9-391C-485C-BA2F-D6FD2CB855EE}"/>
    <cellStyle name="Milliers 2 2 2 2 2 3 2" xfId="1835" xr:uid="{A9ABD105-39CB-4DFD-AB6D-51068B31852A}"/>
    <cellStyle name="Milliers 2 2 2 2 2 4" xfId="1661" xr:uid="{CC810B91-2521-41E6-A55A-92FAF5CA9A13}"/>
    <cellStyle name="Milliers 2 2 2 2 2 4 2" xfId="1883" xr:uid="{513E39C9-53C4-43BB-8F95-C2AACC1131AF}"/>
    <cellStyle name="Milliers 2 2 2 2 2 5" xfId="1713" xr:uid="{36E49B91-72A5-4FFD-8A6C-1AD440DF4687}"/>
    <cellStyle name="Milliers 2 2 2 2 2 5 2" xfId="1932" xr:uid="{7E7DBE31-B75B-4D65-82DB-8569A317785D}"/>
    <cellStyle name="Milliers 2 2 2 2 2 6" xfId="1787" xr:uid="{779BE618-CCE9-48DC-98FE-0E4573174FF0}"/>
    <cellStyle name="Milliers 2 2 2 2 3" xfId="1566" xr:uid="{82278B81-5449-4C96-9AAA-DE9EEB3D929B}"/>
    <cellStyle name="Milliers 2 2 2 2 3 2" xfId="1619" xr:uid="{4A6F29A9-EADA-4B88-8FB9-930E0FE8CAFA}"/>
    <cellStyle name="Milliers 2 2 2 2 3 2 2" xfId="1847" xr:uid="{E5FE82A1-A372-4795-B4F9-5F6595E91929}"/>
    <cellStyle name="Milliers 2 2 2 2 3 3" xfId="1673" xr:uid="{04B3F9C3-2F7C-4104-9ABA-E087962F92CF}"/>
    <cellStyle name="Milliers 2 2 2 2 3 3 2" xfId="1895" xr:uid="{34FBC4AD-E854-4398-97E0-93AFE890C026}"/>
    <cellStyle name="Milliers 2 2 2 2 3 4" xfId="1725" xr:uid="{DC4566E5-CB84-4301-8AA4-1393B505A62B}"/>
    <cellStyle name="Milliers 2 2 2 2 3 4 2" xfId="1944" xr:uid="{C515DFF9-C090-4896-A315-1339D1B85C2B}"/>
    <cellStyle name="Milliers 2 2 2 2 3 5" xfId="1799" xr:uid="{935E36B4-8FD5-4AC9-BF9D-2195058C3DF2}"/>
    <cellStyle name="Milliers 2 2 2 2 4" xfId="1594" xr:uid="{1F5C144F-301C-4AAA-9717-EDADEC5B6C7B}"/>
    <cellStyle name="Milliers 2 2 2 2 4 2" xfId="1823" xr:uid="{4F2A9E32-FA72-492F-859E-CD180806DEC1}"/>
    <cellStyle name="Milliers 2 2 2 2 5" xfId="1649" xr:uid="{6A6FDE57-F293-4AAA-8298-F743D6A7B668}"/>
    <cellStyle name="Milliers 2 2 2 2 5 2" xfId="1871" xr:uid="{C1C137BD-34CE-4D95-A46D-A8493BA97C73}"/>
    <cellStyle name="Milliers 2 2 2 2 6" xfId="1701" xr:uid="{1B869A20-40C7-499C-BB66-E80C5CA81C4D}"/>
    <cellStyle name="Milliers 2 2 2 2 6 2" xfId="1920" xr:uid="{DE2CDC63-8D8E-42DB-ADB8-7E6869F42944}"/>
    <cellStyle name="Milliers 2 2 2 2 7" xfId="1775" xr:uid="{34235F8C-840B-4B6E-B9FA-19C024ACEAE9}"/>
    <cellStyle name="Milliers 2 2 2 3" xfId="1546" xr:uid="{B578062F-C825-4BD6-8BEE-D14EB6639519}"/>
    <cellStyle name="Milliers 2 2 2 3 2" xfId="1572" xr:uid="{1925D396-2EC5-4A23-933A-F059BD49C564}"/>
    <cellStyle name="Milliers 2 2 2 3 2 2" xfId="1625" xr:uid="{889DD990-C731-4905-9FB9-7C27BA21557B}"/>
    <cellStyle name="Milliers 2 2 2 3 2 2 2" xfId="1853" xr:uid="{CDE023F0-5C5B-4C5E-8A22-FEE6E289C5A9}"/>
    <cellStyle name="Milliers 2 2 2 3 2 3" xfId="1679" xr:uid="{E187A3F1-4930-4558-8DC9-A32C7AC3DAC3}"/>
    <cellStyle name="Milliers 2 2 2 3 2 3 2" xfId="1901" xr:uid="{F968F67D-9FC8-4D47-A8DD-79423843F926}"/>
    <cellStyle name="Milliers 2 2 2 3 2 4" xfId="1731" xr:uid="{F7773123-F349-482B-A2CF-3FAA496D27D1}"/>
    <cellStyle name="Milliers 2 2 2 3 2 4 2" xfId="1950" xr:uid="{3CF8CD82-41AF-4709-9D44-BBCF9827A308}"/>
    <cellStyle name="Milliers 2 2 2 3 2 5" xfId="1805" xr:uid="{FF1E0EF5-A761-4955-9C7A-3081EC78C730}"/>
    <cellStyle name="Milliers 2 2 2 3 3" xfId="1600" xr:uid="{ACCAAA77-3F4C-42BA-B7E2-CF80006061E3}"/>
    <cellStyle name="Milliers 2 2 2 3 3 2" xfId="1829" xr:uid="{61436778-0867-45AC-8AA2-966E49073950}"/>
    <cellStyle name="Milliers 2 2 2 3 4" xfId="1655" xr:uid="{A26E56D3-6881-4D7F-B283-58FE954EEAB0}"/>
    <cellStyle name="Milliers 2 2 2 3 4 2" xfId="1877" xr:uid="{DE74BD6D-7838-478E-A20E-2E28891059AC}"/>
    <cellStyle name="Milliers 2 2 2 3 5" xfId="1707" xr:uid="{D3C8A445-2AA6-45E5-848F-0ACFEBC2A303}"/>
    <cellStyle name="Milliers 2 2 2 3 5 2" xfId="1926" xr:uid="{4873FD95-2E18-4C3A-9968-FDA9BDEC2F38}"/>
    <cellStyle name="Milliers 2 2 2 3 6" xfId="1781" xr:uid="{75A3DD79-DDAD-4857-A1CE-490D11574FA6}"/>
    <cellStyle name="Milliers 2 2 2 4" xfId="1560" xr:uid="{4D2BB7D1-E39E-47FA-9010-2048B0140DDD}"/>
    <cellStyle name="Milliers 2 2 2 4 2" xfId="1613" xr:uid="{BD12570A-97F7-4699-8772-D723782AF30A}"/>
    <cellStyle name="Milliers 2 2 2 4 2 2" xfId="1841" xr:uid="{FAE4D5CA-EE2E-42DB-9E91-F5AE60078AA7}"/>
    <cellStyle name="Milliers 2 2 2 4 3" xfId="1667" xr:uid="{32AE0945-6657-498C-AB34-DBAF0ACF61C6}"/>
    <cellStyle name="Milliers 2 2 2 4 3 2" xfId="1889" xr:uid="{E62BAED2-2B46-435F-8B00-CE7E782F5005}"/>
    <cellStyle name="Milliers 2 2 2 4 4" xfId="1719" xr:uid="{3F547409-1BBD-459F-9C23-DFD142AE1BCB}"/>
    <cellStyle name="Milliers 2 2 2 4 4 2" xfId="1938" xr:uid="{80AFC5B2-3D68-4DB6-9F62-C50F34896184}"/>
    <cellStyle name="Milliers 2 2 2 4 5" xfId="1793" xr:uid="{2D442B7C-7C83-4AD4-A8A5-EF6BA1A6DF48}"/>
    <cellStyle name="Milliers 2 2 2 5" xfId="1530" xr:uid="{82F1E6A3-CF83-4195-B790-E7CD6FA5CB79}"/>
    <cellStyle name="Milliers 2 2 2 5 2" xfId="1769" xr:uid="{EE9E2CBE-8EAE-48C8-A785-624E922DFB40}"/>
    <cellStyle name="Milliers 2 2 2 6" xfId="1588" xr:uid="{9614B5A4-BA3D-45B4-80E6-FCC9D8F5A766}"/>
    <cellStyle name="Milliers 2 2 2 6 2" xfId="1817" xr:uid="{928BBB9F-A50B-43F4-AB85-0D4BAFF8D563}"/>
    <cellStyle name="Milliers 2 2 2 7" xfId="1643" xr:uid="{3D819C6F-583A-4B45-9675-8917C7398A78}"/>
    <cellStyle name="Milliers 2 2 2 7 2" xfId="1865" xr:uid="{4176EFA1-F7F5-4EAB-8C80-7BE9A62F304A}"/>
    <cellStyle name="Milliers 2 2 2 8" xfId="1695" xr:uid="{57FE73C4-41F4-4B08-89E6-3EE9B6EE7CDC}"/>
    <cellStyle name="Milliers 2 2 2 8 2" xfId="1914" xr:uid="{1084BE20-F69E-4097-A5F6-0395CCE582DF}"/>
    <cellStyle name="Milliers 2 2 2 9" xfId="1763" xr:uid="{6E743918-B4DB-4397-A018-15E7634757CE}"/>
    <cellStyle name="Milliers 2 2 3" xfId="1533" xr:uid="{452DED65-14CE-40FF-8B69-F98AECF1D45E}"/>
    <cellStyle name="Milliers 2 2 3 2" xfId="1549" xr:uid="{E3EB2F6B-EFF1-48DB-AD23-B818B121DE92}"/>
    <cellStyle name="Milliers 2 2 3 2 2" xfId="1575" xr:uid="{769C90E0-986C-483D-933A-9DF3AFEC4F71}"/>
    <cellStyle name="Milliers 2 2 3 2 2 2" xfId="1628" xr:uid="{CEE122F6-DB22-4EDF-98C8-28C1DE3CB68C}"/>
    <cellStyle name="Milliers 2 2 3 2 2 2 2" xfId="1856" xr:uid="{D251A29F-4521-4886-83FF-AC433776824A}"/>
    <cellStyle name="Milliers 2 2 3 2 2 3" xfId="1682" xr:uid="{7D2B3055-7F60-43B9-BDB4-43F646D95478}"/>
    <cellStyle name="Milliers 2 2 3 2 2 3 2" xfId="1904" xr:uid="{7F75E1A3-83E5-4BF7-82CC-7F3F289ED148}"/>
    <cellStyle name="Milliers 2 2 3 2 2 4" xfId="1734" xr:uid="{339F79F8-ECB5-4F87-A673-39DD027E3AAC}"/>
    <cellStyle name="Milliers 2 2 3 2 2 4 2" xfId="1953" xr:uid="{99A3427E-4CAA-4F8A-AD24-29E9CEFD44FE}"/>
    <cellStyle name="Milliers 2 2 3 2 2 5" xfId="1808" xr:uid="{F15AE41D-D3EB-4648-919F-F86B43B61CB5}"/>
    <cellStyle name="Milliers 2 2 3 2 3" xfId="1603" xr:uid="{E3CA020A-DC93-46C2-8F32-CF8F27083EC4}"/>
    <cellStyle name="Milliers 2 2 3 2 3 2" xfId="1832" xr:uid="{6BDB7420-1C77-4407-9171-569C7FBA4FF2}"/>
    <cellStyle name="Milliers 2 2 3 2 4" xfId="1658" xr:uid="{60F72139-D035-4E1B-B9BC-A1D5984D3DF9}"/>
    <cellStyle name="Milliers 2 2 3 2 4 2" xfId="1880" xr:uid="{582B5B6E-45C0-4AD4-AE99-83D4CD849836}"/>
    <cellStyle name="Milliers 2 2 3 2 5" xfId="1710" xr:uid="{9ECC4B14-1018-44CB-A5E2-8F37C0FBB746}"/>
    <cellStyle name="Milliers 2 2 3 2 5 2" xfId="1929" xr:uid="{25BF592D-A33C-4A94-863C-16DDDE790036}"/>
    <cellStyle name="Milliers 2 2 3 2 6" xfId="1784" xr:uid="{A9D47EC0-7D79-41FE-907C-2EA458C0FFBF}"/>
    <cellStyle name="Milliers 2 2 3 3" xfId="1563" xr:uid="{BFB1BFC9-2E0A-43F8-8B7A-E2BD7B3537FB}"/>
    <cellStyle name="Milliers 2 2 3 3 2" xfId="1616" xr:uid="{1451E25D-7294-4035-B5F9-0A47016B43A1}"/>
    <cellStyle name="Milliers 2 2 3 3 2 2" xfId="1844" xr:uid="{7A2B30F3-3D1A-47D6-8CA1-3810AB159A69}"/>
    <cellStyle name="Milliers 2 2 3 3 3" xfId="1670" xr:uid="{A4A6E757-3CE7-414E-A654-C77188CDCC06}"/>
    <cellStyle name="Milliers 2 2 3 3 3 2" xfId="1892" xr:uid="{23CE44A4-48DF-4BFA-9577-242BE25FF54A}"/>
    <cellStyle name="Milliers 2 2 3 3 4" xfId="1722" xr:uid="{090389A6-02F3-4ED6-B77A-24489798F417}"/>
    <cellStyle name="Milliers 2 2 3 3 4 2" xfId="1941" xr:uid="{D58CBA1A-2DE8-4F54-B65E-429C67C0903B}"/>
    <cellStyle name="Milliers 2 2 3 3 5" xfId="1796" xr:uid="{8AF57984-7088-4881-A9F5-72D3F33EA6A5}"/>
    <cellStyle name="Milliers 2 2 3 4" xfId="1591" xr:uid="{66F9D5FF-4CB1-4C10-AA5A-77CD6AF8DBEC}"/>
    <cellStyle name="Milliers 2 2 3 4 2" xfId="1820" xr:uid="{4C028028-B10A-434F-AB12-85C9EF97F5AE}"/>
    <cellStyle name="Milliers 2 2 3 5" xfId="1646" xr:uid="{D4685A3D-1F67-40C3-9692-59EC566510DF}"/>
    <cellStyle name="Milliers 2 2 3 5 2" xfId="1868" xr:uid="{06150254-C672-4102-8865-AD590BD6966B}"/>
    <cellStyle name="Milliers 2 2 3 6" xfId="1698" xr:uid="{4A9A5EB2-BF10-4E67-9818-919BA128D45D}"/>
    <cellStyle name="Milliers 2 2 3 6 2" xfId="1917" xr:uid="{316C7BD7-0E05-4B53-B0EB-98D04F4599EC}"/>
    <cellStyle name="Milliers 2 2 3 7" xfId="1772" xr:uid="{484C5494-A293-45AD-B8B8-FC3D7B644E34}"/>
    <cellStyle name="Milliers 2 2 4" xfId="1543" xr:uid="{55CA34FB-43A9-4371-941A-FCD1E60ABC2B}"/>
    <cellStyle name="Milliers 2 2 4 2" xfId="1569" xr:uid="{A8CB2BF5-D7C7-42C2-8812-F64877D0DF41}"/>
    <cellStyle name="Milliers 2 2 4 2 2" xfId="1622" xr:uid="{91A1A116-139C-4CBB-87B4-A59801C1C8E9}"/>
    <cellStyle name="Milliers 2 2 4 2 2 2" xfId="1850" xr:uid="{DE81E3B3-EB9C-4181-A802-82804A39646B}"/>
    <cellStyle name="Milliers 2 2 4 2 3" xfId="1676" xr:uid="{209D7606-C4C8-4648-B507-02F4CA74FB17}"/>
    <cellStyle name="Milliers 2 2 4 2 3 2" xfId="1898" xr:uid="{29B15DB2-0088-4A0A-9766-8A7435A05933}"/>
    <cellStyle name="Milliers 2 2 4 2 4" xfId="1728" xr:uid="{A2637BE5-71B8-494C-A2A6-7B0A7DCB0995}"/>
    <cellStyle name="Milliers 2 2 4 2 4 2" xfId="1947" xr:uid="{253DBBB1-64CF-4024-8C7D-C696A4771E01}"/>
    <cellStyle name="Milliers 2 2 4 2 5" xfId="1802" xr:uid="{6B6A3FE4-68E9-4348-AE8F-F296EF1DFEC0}"/>
    <cellStyle name="Milliers 2 2 4 3" xfId="1597" xr:uid="{F1420A46-1ED4-4B52-8CA0-6ABCC553EB23}"/>
    <cellStyle name="Milliers 2 2 4 3 2" xfId="1826" xr:uid="{DCF332D1-A070-4D6E-B61D-5A88BF17FF0C}"/>
    <cellStyle name="Milliers 2 2 4 4" xfId="1652" xr:uid="{63F4CEA3-B768-4FA4-9D0F-9CE51BEB5814}"/>
    <cellStyle name="Milliers 2 2 4 4 2" xfId="1874" xr:uid="{7B1693B8-BDF6-4AC0-8EF6-983D9F2DDC66}"/>
    <cellStyle name="Milliers 2 2 4 5" xfId="1704" xr:uid="{34DE4F18-CD75-47CC-A93E-769B53A6AC6F}"/>
    <cellStyle name="Milliers 2 2 4 5 2" xfId="1923" xr:uid="{42F91BFE-B460-4342-8EBF-AC61FF6375A6}"/>
    <cellStyle name="Milliers 2 2 4 6" xfId="1778" xr:uid="{61E7E443-8D85-4CBD-B8C0-2ED6A34F7C4E}"/>
    <cellStyle name="Milliers 2 2 5" xfId="1557" xr:uid="{52EDE4C1-E53D-4FB0-A3D2-68BEC1975321}"/>
    <cellStyle name="Milliers 2 2 5 2" xfId="1610" xr:uid="{70D8B968-AB4C-424B-9836-7EDCAE4909AF}"/>
    <cellStyle name="Milliers 2 2 5 2 2" xfId="1838" xr:uid="{586257E1-ACA8-4104-AF6F-A8C83B5FB4EA}"/>
    <cellStyle name="Milliers 2 2 5 3" xfId="1664" xr:uid="{9A772213-3CB0-4605-91A0-64821FF3DE02}"/>
    <cellStyle name="Milliers 2 2 5 3 2" xfId="1886" xr:uid="{DD49E708-0031-44FB-BEE9-2863862E7E4C}"/>
    <cellStyle name="Milliers 2 2 5 4" xfId="1716" xr:uid="{66F653DB-547B-4915-B954-29E5A60CC403}"/>
    <cellStyle name="Milliers 2 2 5 4 2" xfId="1935" xr:uid="{2605448B-00E5-444B-9BE4-6D14BC52BA3D}"/>
    <cellStyle name="Milliers 2 2 5 5" xfId="1790" xr:uid="{43C8A275-46D9-451E-AF17-9F4AEDC237BD}"/>
    <cellStyle name="Milliers 2 2 6" xfId="1527" xr:uid="{58A21CEE-4E59-499C-A7AC-0244D6222A99}"/>
    <cellStyle name="Milliers 2 2 6 2" xfId="1766" xr:uid="{71A20B29-75B6-45D6-BEC2-EFEA4B4E13E1}"/>
    <cellStyle name="Milliers 2 2 7" xfId="1585" xr:uid="{1D5B6F03-3270-4A8A-875C-A03E7AAA3176}"/>
    <cellStyle name="Milliers 2 2 7 2" xfId="1814" xr:uid="{842F442E-2F83-41AC-879B-D07F9884B0C8}"/>
    <cellStyle name="Milliers 2 2 8" xfId="1640" xr:uid="{01E502B1-9950-449C-9AF4-515C040CD6E8}"/>
    <cellStyle name="Milliers 2 2 8 2" xfId="1862" xr:uid="{3A8B37F8-1DF7-4F8E-8173-70CA9CADD3A1}"/>
    <cellStyle name="Milliers 2 2 9" xfId="1692" xr:uid="{569EF29A-CF83-4301-BD1E-FC794B33D80E}"/>
    <cellStyle name="Milliers 2 2 9 2" xfId="1911" xr:uid="{C5259E49-8500-4A0D-8E41-B9C7170A6CFD}"/>
    <cellStyle name="Milliers 2 3" xfId="1509" xr:uid="{DD24C02D-3BF9-4002-AEFB-CFC0F507E41C}"/>
    <cellStyle name="Milliers 2 3 2" xfId="1534" xr:uid="{927708B6-4B81-4FF1-9511-F7C605555C9A}"/>
    <cellStyle name="Milliers 2 3 2 2" xfId="1550" xr:uid="{6378B889-34C2-44CE-9C30-9920F44E16B6}"/>
    <cellStyle name="Milliers 2 3 2 2 2" xfId="1576" xr:uid="{2AC41310-7264-4180-935E-C4662A11187D}"/>
    <cellStyle name="Milliers 2 3 2 2 2 2" xfId="1629" xr:uid="{7BE95FAE-1D82-4FB6-9091-30CB95C937D9}"/>
    <cellStyle name="Milliers 2 3 2 2 2 2 2" xfId="1857" xr:uid="{DB3D8F49-21BE-4F5B-9B92-32048E7D8718}"/>
    <cellStyle name="Milliers 2 3 2 2 2 3" xfId="1683" xr:uid="{DA7230DE-EFD0-414A-A039-6FC35E1A38A5}"/>
    <cellStyle name="Milliers 2 3 2 2 2 3 2" xfId="1905" xr:uid="{243C22A0-DC15-49F8-A21B-F44C271DF6F9}"/>
    <cellStyle name="Milliers 2 3 2 2 2 4" xfId="1735" xr:uid="{7B653401-3500-4303-A025-8D082A31B5F5}"/>
    <cellStyle name="Milliers 2 3 2 2 2 4 2" xfId="1954" xr:uid="{65BED33A-148E-4255-8440-76205F262F0B}"/>
    <cellStyle name="Milliers 2 3 2 2 2 5" xfId="1809" xr:uid="{9C0DCF29-AC69-4492-9404-540D00C480AD}"/>
    <cellStyle name="Milliers 2 3 2 2 3" xfId="1604" xr:uid="{35FDC13A-110C-42BD-9E26-A3AA064B0092}"/>
    <cellStyle name="Milliers 2 3 2 2 3 2" xfId="1833" xr:uid="{DFE2C0A1-5A4C-483F-BAB9-6EFE5700DE25}"/>
    <cellStyle name="Milliers 2 3 2 2 4" xfId="1659" xr:uid="{F5598427-3D3E-4D32-9CBD-F14AEB683BD2}"/>
    <cellStyle name="Milliers 2 3 2 2 4 2" xfId="1881" xr:uid="{A3431273-6C3A-4342-ABF7-DD2AA1818A4F}"/>
    <cellStyle name="Milliers 2 3 2 2 5" xfId="1711" xr:uid="{7B561061-37E2-4492-9299-FF8DFEED96F0}"/>
    <cellStyle name="Milliers 2 3 2 2 5 2" xfId="1930" xr:uid="{B4E4D58F-4E57-41A2-92A8-3723ED84EA2F}"/>
    <cellStyle name="Milliers 2 3 2 2 6" xfId="1785" xr:uid="{53EF3180-3A79-4032-AD9A-0F3BA7AF9E41}"/>
    <cellStyle name="Milliers 2 3 2 3" xfId="1564" xr:uid="{4FA599B0-28B7-4941-9A03-74025AA244A1}"/>
    <cellStyle name="Milliers 2 3 2 3 2" xfId="1617" xr:uid="{5F51BFF1-BF4B-428E-92F3-96BC266B9867}"/>
    <cellStyle name="Milliers 2 3 2 3 2 2" xfId="1845" xr:uid="{8FDA5AF3-EF69-4540-BC21-1B03AAFD69B5}"/>
    <cellStyle name="Milliers 2 3 2 3 3" xfId="1671" xr:uid="{A2FFB831-662F-4E6E-93B7-9A64DAEBB572}"/>
    <cellStyle name="Milliers 2 3 2 3 3 2" xfId="1893" xr:uid="{DA333DF7-9DB3-4A1A-AE14-06DDD82357B6}"/>
    <cellStyle name="Milliers 2 3 2 3 4" xfId="1723" xr:uid="{126ABB31-B831-41B8-B876-0F6CBF15C85D}"/>
    <cellStyle name="Milliers 2 3 2 3 4 2" xfId="1942" xr:uid="{26E5B9A5-7370-43DF-8D1D-61D45C18D829}"/>
    <cellStyle name="Milliers 2 3 2 3 5" xfId="1797" xr:uid="{7862B3EA-F748-4931-98CE-396800630C7D}"/>
    <cellStyle name="Milliers 2 3 2 4" xfId="1592" xr:uid="{A3D7AA6B-D64F-4D10-95FE-BECB9F47C0D7}"/>
    <cellStyle name="Milliers 2 3 2 4 2" xfId="1821" xr:uid="{72DBA628-BCC9-41FE-9FA6-4EA0D27A0E7E}"/>
    <cellStyle name="Milliers 2 3 2 5" xfId="1647" xr:uid="{563D5357-E26A-4AE5-A348-B3A25355CB80}"/>
    <cellStyle name="Milliers 2 3 2 5 2" xfId="1869" xr:uid="{0461818B-FD37-4607-AA4C-6A500665FB00}"/>
    <cellStyle name="Milliers 2 3 2 6" xfId="1699" xr:uid="{EE23E96F-F86F-473D-9F3A-D4ABAAF07E4D}"/>
    <cellStyle name="Milliers 2 3 2 6 2" xfId="1918" xr:uid="{6BAA9FA0-5999-4695-9193-FAA0C5CF2D95}"/>
    <cellStyle name="Milliers 2 3 2 7" xfId="1773" xr:uid="{EC70E249-5B44-4C3A-BFAE-B1C6AE2639E4}"/>
    <cellStyle name="Milliers 2 3 3" xfId="1544" xr:uid="{19475E96-945A-4AD0-9481-2B7D324265BA}"/>
    <cellStyle name="Milliers 2 3 3 2" xfId="1570" xr:uid="{9F4C9853-45E9-46F0-8D6C-F2F8A237FF4D}"/>
    <cellStyle name="Milliers 2 3 3 2 2" xfId="1623" xr:uid="{39F63635-B90C-40A9-8035-81E55DFCBD04}"/>
    <cellStyle name="Milliers 2 3 3 2 2 2" xfId="1851" xr:uid="{B346AC47-3987-4541-BCA3-A46E090B1639}"/>
    <cellStyle name="Milliers 2 3 3 2 3" xfId="1677" xr:uid="{91A0BB32-7DA8-4802-BDF7-DA98BB2E553D}"/>
    <cellStyle name="Milliers 2 3 3 2 3 2" xfId="1899" xr:uid="{F5F71788-29F0-49C0-87C9-47C46783D33A}"/>
    <cellStyle name="Milliers 2 3 3 2 4" xfId="1729" xr:uid="{1E9E2576-D326-4E61-98EB-6A7D1A39C87B}"/>
    <cellStyle name="Milliers 2 3 3 2 4 2" xfId="1948" xr:uid="{9D317769-2A22-43BE-B394-D14A9DEC0D9C}"/>
    <cellStyle name="Milliers 2 3 3 2 5" xfId="1803" xr:uid="{77E35DEA-E739-4E50-BB8A-B90909E9FA10}"/>
    <cellStyle name="Milliers 2 3 3 3" xfId="1598" xr:uid="{2684DA32-DCDE-47A3-873B-8F3EF79B9478}"/>
    <cellStyle name="Milliers 2 3 3 3 2" xfId="1827" xr:uid="{F332E076-4386-45F2-A054-4F5DE1C83497}"/>
    <cellStyle name="Milliers 2 3 3 4" xfId="1653" xr:uid="{A4A71E6B-A893-44A7-BB8B-7CF40C4E3299}"/>
    <cellStyle name="Milliers 2 3 3 4 2" xfId="1875" xr:uid="{D83D6D78-2185-4534-A115-9882F880148A}"/>
    <cellStyle name="Milliers 2 3 3 5" xfId="1705" xr:uid="{EAEA0A0E-4AA2-4F6A-8847-A5D6411D3B66}"/>
    <cellStyle name="Milliers 2 3 3 5 2" xfId="1924" xr:uid="{13916B4C-155D-4AB3-91CE-28BDDF5101C9}"/>
    <cellStyle name="Milliers 2 3 3 6" xfId="1779" xr:uid="{ED80C838-5842-4D25-BFD6-3242602D3F99}"/>
    <cellStyle name="Milliers 2 3 4" xfId="1558" xr:uid="{18563B78-58C3-494C-8CC2-43B72F08C7E9}"/>
    <cellStyle name="Milliers 2 3 4 2" xfId="1611" xr:uid="{2FFD125E-C028-4EEB-A506-827CADF8C174}"/>
    <cellStyle name="Milliers 2 3 4 2 2" xfId="1839" xr:uid="{4B21080A-66FF-4AD0-8464-BC3171520BAA}"/>
    <cellStyle name="Milliers 2 3 4 3" xfId="1665" xr:uid="{DCE78B5B-CA36-4607-A3BB-DF18E31F59F5}"/>
    <cellStyle name="Milliers 2 3 4 3 2" xfId="1887" xr:uid="{C2C28824-C7BF-46A0-8BFA-3AB5C0BCFEB8}"/>
    <cellStyle name="Milliers 2 3 4 4" xfId="1717" xr:uid="{1ABF5469-6C64-47E5-AD63-067794B316A2}"/>
    <cellStyle name="Milliers 2 3 4 4 2" xfId="1936" xr:uid="{736F04A9-CA72-4ECF-BF4F-B3E42F2BFC32}"/>
    <cellStyle name="Milliers 2 3 4 5" xfId="1791" xr:uid="{F860803C-9CD4-4F0A-8EB0-9D5BE59B766C}"/>
    <cellStyle name="Milliers 2 3 5" xfId="1528" xr:uid="{A3EB8006-04FC-460E-8708-0AA17C18F1E2}"/>
    <cellStyle name="Milliers 2 3 5 2" xfId="1767" xr:uid="{96330FD8-970A-4A29-90E9-1ACC799743A8}"/>
    <cellStyle name="Milliers 2 3 6" xfId="1586" xr:uid="{465CF557-2B33-4BE7-AF3B-531DC266B1A3}"/>
    <cellStyle name="Milliers 2 3 6 2" xfId="1815" xr:uid="{A7699030-1548-48A5-AAC1-6095172426F3}"/>
    <cellStyle name="Milliers 2 3 7" xfId="1641" xr:uid="{23D308B4-ADE9-4C4D-A326-272CE1D762A1}"/>
    <cellStyle name="Milliers 2 3 7 2" xfId="1863" xr:uid="{CD3F08E8-4A73-4BE6-ABB8-108415260E54}"/>
    <cellStyle name="Milliers 2 3 8" xfId="1693" xr:uid="{5344CC2C-E336-48D6-ACC5-662A1EB4567A}"/>
    <cellStyle name="Milliers 2 3 8 2" xfId="1912" xr:uid="{13413C4C-E602-4688-A056-04356F20C482}"/>
    <cellStyle name="Milliers 2 3 9" xfId="1760" xr:uid="{508A0316-DD81-461E-B8CB-C044475AE91B}"/>
    <cellStyle name="Milliers 2 4" xfId="1512" xr:uid="{F6E5D6E6-87A6-4AC6-B39A-A93854564555}"/>
    <cellStyle name="Milliers 2 4 2" xfId="1547" xr:uid="{D1516A3F-AA25-4B7F-AF1E-5B92565531AD}"/>
    <cellStyle name="Milliers 2 4 2 2" xfId="1573" xr:uid="{428892CA-5D68-4049-96D6-B80F07C83B9B}"/>
    <cellStyle name="Milliers 2 4 2 2 2" xfId="1626" xr:uid="{8D9588C1-2E79-44B7-A4FF-80B2241636D8}"/>
    <cellStyle name="Milliers 2 4 2 2 2 2" xfId="1854" xr:uid="{7D212FEF-72B6-4881-9858-E92BE1BBB527}"/>
    <cellStyle name="Milliers 2 4 2 2 3" xfId="1680" xr:uid="{15AFFC97-1655-46EE-BE7E-994399351FDA}"/>
    <cellStyle name="Milliers 2 4 2 2 3 2" xfId="1902" xr:uid="{0F34BB55-BC01-4DBD-83F2-D58BEF729E46}"/>
    <cellStyle name="Milliers 2 4 2 2 4" xfId="1732" xr:uid="{3C76589E-4100-43E5-8F1F-F210B9FFC77E}"/>
    <cellStyle name="Milliers 2 4 2 2 4 2" xfId="1951" xr:uid="{7AA902A3-697C-4D44-8B3C-B6577C863B0C}"/>
    <cellStyle name="Milliers 2 4 2 2 5" xfId="1806" xr:uid="{6D52B03A-6213-4A2E-B4FF-CFCFC179264C}"/>
    <cellStyle name="Milliers 2 4 2 3" xfId="1601" xr:uid="{672ADF64-251B-408B-91B7-CEB948CDE046}"/>
    <cellStyle name="Milliers 2 4 2 3 2" xfId="1830" xr:uid="{81E10E16-4553-4492-96F6-FDC70850DC37}"/>
    <cellStyle name="Milliers 2 4 2 4" xfId="1656" xr:uid="{A24234DD-947B-42EE-9EC4-942878CA9453}"/>
    <cellStyle name="Milliers 2 4 2 4 2" xfId="1878" xr:uid="{8310CA19-B4DB-4980-9C36-71D5BFD151BA}"/>
    <cellStyle name="Milliers 2 4 2 5" xfId="1708" xr:uid="{5E564F66-F258-4753-BF0D-F2071613AAAE}"/>
    <cellStyle name="Milliers 2 4 2 5 2" xfId="1927" xr:uid="{EDFB8FB4-0FBE-4935-945E-20ADA0F90471}"/>
    <cellStyle name="Milliers 2 4 2 6" xfId="1782" xr:uid="{EDCE941B-77C1-4596-951F-E4DED7FC45DD}"/>
    <cellStyle name="Milliers 2 4 3" xfId="1561" xr:uid="{D680B93B-57D2-4EBA-A49B-C94972ABE636}"/>
    <cellStyle name="Milliers 2 4 3 2" xfId="1614" xr:uid="{BEF80F61-7FD3-44B9-A702-F3C23724B350}"/>
    <cellStyle name="Milliers 2 4 3 2 2" xfId="1842" xr:uid="{A50ADAEF-1E7A-4B8D-BC04-CD0FCF337147}"/>
    <cellStyle name="Milliers 2 4 3 3" xfId="1668" xr:uid="{38FFA151-60EA-485C-9B3D-9346F517FB36}"/>
    <cellStyle name="Milliers 2 4 3 3 2" xfId="1890" xr:uid="{7ECD38AB-3732-48B8-BF08-CBE58985DE52}"/>
    <cellStyle name="Milliers 2 4 3 4" xfId="1720" xr:uid="{1C8B8389-5FDE-40B7-B92F-ADB6CCDEEAEF}"/>
    <cellStyle name="Milliers 2 4 3 4 2" xfId="1939" xr:uid="{A6464F86-9C1A-44C3-8A3A-667028615804}"/>
    <cellStyle name="Milliers 2 4 3 5" xfId="1794" xr:uid="{5B1239EA-2027-477D-B5EE-5D28062426AA}"/>
    <cellStyle name="Milliers 2 4 4" xfId="1531" xr:uid="{F38624E3-CD7B-4D70-9CFA-B58CEE047C38}"/>
    <cellStyle name="Milliers 2 4 4 2" xfId="1770" xr:uid="{F9CE7169-D395-40F6-AFEB-02DCFAF3981A}"/>
    <cellStyle name="Milliers 2 4 5" xfId="1589" xr:uid="{CA949381-EF91-4C0E-AAB2-7CAF1AB574DF}"/>
    <cellStyle name="Milliers 2 4 5 2" xfId="1818" xr:uid="{220A7861-3017-412E-9EAF-5822A848068D}"/>
    <cellStyle name="Milliers 2 4 6" xfId="1644" xr:uid="{43E9BC5A-80C6-4106-A7BC-1394749E49E4}"/>
    <cellStyle name="Milliers 2 4 6 2" xfId="1866" xr:uid="{0DA2AD74-9560-473F-92CC-4465991192B0}"/>
    <cellStyle name="Milliers 2 4 7" xfId="1696" xr:uid="{0F0CB149-DD15-4913-A934-443B4727C9AA}"/>
    <cellStyle name="Milliers 2 4 7 2" xfId="1915" xr:uid="{8A816D04-F9C0-4891-81FE-73AC68F543D5}"/>
    <cellStyle name="Milliers 2 5" xfId="1514" xr:uid="{EA80F6A3-C34A-453F-985E-4E8EF503BB6E}"/>
    <cellStyle name="Milliers 2 5 2" xfId="1567" xr:uid="{481DD682-B4B8-4A84-89FE-D02D24FB8DB4}"/>
    <cellStyle name="Milliers 2 5 2 2" xfId="1620" xr:uid="{BF83E71E-2240-4AA3-BA6F-451B248C4F88}"/>
    <cellStyle name="Milliers 2 5 2 2 2" xfId="1848" xr:uid="{8C2AFCDB-B6BF-44A0-93C1-3BC032939022}"/>
    <cellStyle name="Milliers 2 5 2 3" xfId="1674" xr:uid="{FAFA34F3-63A4-4E03-93F5-EE3DB209DBF8}"/>
    <cellStyle name="Milliers 2 5 2 3 2" xfId="1896" xr:uid="{324A88C2-4E36-44D2-BDFD-6B2B12EFF00C}"/>
    <cellStyle name="Milliers 2 5 2 4" xfId="1726" xr:uid="{1A5C748A-314E-4D56-BDCB-25F8EAF845E8}"/>
    <cellStyle name="Milliers 2 5 2 4 2" xfId="1945" xr:uid="{28DAABFF-0D39-4FBD-90E3-A169A75E2151}"/>
    <cellStyle name="Milliers 2 5 2 5" xfId="1800" xr:uid="{F0C92691-1D79-4105-9A57-10AB516828D4}"/>
    <cellStyle name="Milliers 2 5 3" xfId="1541" xr:uid="{19CEC0E6-9D22-404E-BF15-09A3A8C9C2B4}"/>
    <cellStyle name="Milliers 2 5 3 2" xfId="1776" xr:uid="{6E9D6A6F-FBEB-42F3-9D47-F8F6B03D22CF}"/>
    <cellStyle name="Milliers 2 5 4" xfId="1595" xr:uid="{959C4F18-555C-4B9B-95C9-B6188D3C8B92}"/>
    <cellStyle name="Milliers 2 5 4 2" xfId="1824" xr:uid="{4EEE291B-43C5-472F-9F26-DE2ED4381974}"/>
    <cellStyle name="Milliers 2 5 5" xfId="1650" xr:uid="{5F66B34D-771A-4C35-AE56-9A6AA7EBBDB3}"/>
    <cellStyle name="Milliers 2 5 5 2" xfId="1872" xr:uid="{4C64DB42-3396-4262-B3D0-5B0648541E4D}"/>
    <cellStyle name="Milliers 2 5 6" xfId="1702" xr:uid="{35AAABB7-3B7E-4ED5-963B-025443E9CB73}"/>
    <cellStyle name="Milliers 2 5 6 2" xfId="1921" xr:uid="{97F90F7E-C2B9-4895-B486-9BEAE5F52A2F}"/>
    <cellStyle name="Milliers 2 5 7" xfId="1761" xr:uid="{4FB883D6-097A-43E8-9A16-D0F25EAD76D6}"/>
    <cellStyle name="Milliers 2 6" xfId="1555" xr:uid="{C4A28440-6461-455D-9D97-3E1A1282BC3C}"/>
    <cellStyle name="Milliers 2 6 2" xfId="1608" xr:uid="{AAB7FBF7-E42F-4380-8F69-09FFD887A37A}"/>
    <cellStyle name="Milliers 2 6 2 2" xfId="1836" xr:uid="{0B00213C-1DDA-4051-9CF2-DBFA5FD27B33}"/>
    <cellStyle name="Milliers 2 6 3" xfId="1662" xr:uid="{87CA8029-C226-47EC-B0AE-733F7C8DB422}"/>
    <cellStyle name="Milliers 2 6 3 2" xfId="1884" xr:uid="{3733F1DC-8E0F-477C-A571-7CE4C94FE3DD}"/>
    <cellStyle name="Milliers 2 6 4" xfId="1714" xr:uid="{E99B6D78-06C2-4066-A026-A21DFC4FFA4B}"/>
    <cellStyle name="Milliers 2 6 4 2" xfId="1933" xr:uid="{DBCABD55-9C74-4488-A4B6-42C81665944A}"/>
    <cellStyle name="Milliers 2 6 5" xfId="1788" xr:uid="{EBAE265C-F4B0-47F5-B95D-ED864C1BA453}"/>
    <cellStyle name="Milliers 2 7" xfId="1523" xr:uid="{9157411E-2A81-4173-8DB5-248186F4731D}"/>
    <cellStyle name="Milliers 2 7 2" xfId="1764" xr:uid="{3D87887A-5716-46B1-ABF9-42470C9090CE}"/>
    <cellStyle name="Milliers 2 8" xfId="1581" xr:uid="{12F618A8-B979-422D-8BB6-3BB2BCDCFA6B}"/>
    <cellStyle name="Milliers 2 8 2" xfId="1812" xr:uid="{F929F391-D836-4F15-AC3E-EE443FE87FD2}"/>
    <cellStyle name="Milliers 2 9" xfId="1636" xr:uid="{7405DEA4-874D-4192-9C07-B5DC773C58D8}"/>
    <cellStyle name="Milliers 2 9 2" xfId="1860" xr:uid="{A62816F0-5AB4-4560-A73A-9D1FA37AC178}"/>
    <cellStyle name="Milliers 3" xfId="35" xr:uid="{EEBE2D0C-3038-45AA-A900-BB63420C6599}"/>
    <cellStyle name="Milliers 3 10" xfId="1500" xr:uid="{9369C5F5-3967-4629-BCD7-DF398F6A5521}"/>
    <cellStyle name="Milliers 3 11" xfId="1757" xr:uid="{32C222FA-55FD-473C-8DC8-EB71F8DEA923}"/>
    <cellStyle name="Milliers 3 2" xfId="1517" xr:uid="{2B5898DC-5431-4C0A-B24A-D299D29FBBE9}"/>
    <cellStyle name="Milliers 3 2 2" xfId="1535" xr:uid="{38AEA34F-938B-411A-8544-F0F7CED7CAB8}"/>
    <cellStyle name="Milliers 3 2 2 2" xfId="1551" xr:uid="{F609BE21-6C72-473B-BBEA-A199241ECDF3}"/>
    <cellStyle name="Milliers 3 2 2 2 2" xfId="1577" xr:uid="{B2FD7CE0-8D7D-4B6A-9C08-17F46A89C0F9}"/>
    <cellStyle name="Milliers 3 2 2 2 2 2" xfId="1630" xr:uid="{6210E5F3-F2BD-41BB-A983-A82F81C8D78E}"/>
    <cellStyle name="Milliers 3 2 2 2 2 2 2" xfId="1858" xr:uid="{2F02FEA0-2CD1-4A42-8AD3-892960AF59F7}"/>
    <cellStyle name="Milliers 3 2 2 2 2 3" xfId="1684" xr:uid="{BBFB0AD6-6BD4-4E61-B8EA-0E61EC86C5E9}"/>
    <cellStyle name="Milliers 3 2 2 2 2 3 2" xfId="1906" xr:uid="{7136EF70-A3D4-420A-98D0-1BC8F3044E78}"/>
    <cellStyle name="Milliers 3 2 2 2 2 4" xfId="1736" xr:uid="{B306B8B5-FBC5-4D96-9197-484C25DAC661}"/>
    <cellStyle name="Milliers 3 2 2 2 2 4 2" xfId="1955" xr:uid="{BDA6EAE2-AE46-43C7-83C5-96350354862B}"/>
    <cellStyle name="Milliers 3 2 2 2 2 5" xfId="1810" xr:uid="{668211B6-67BD-4F3D-9018-CB79A364DA0D}"/>
    <cellStyle name="Milliers 3 2 2 2 3" xfId="1605" xr:uid="{C91CB03E-E76B-4A69-AA18-EBB1E8E2E0AF}"/>
    <cellStyle name="Milliers 3 2 2 2 3 2" xfId="1834" xr:uid="{C9120110-5E5F-4AE9-B195-2F5CD2566D9A}"/>
    <cellStyle name="Milliers 3 2 2 2 4" xfId="1660" xr:uid="{583C32E6-B2E7-42CC-8E73-9AD25C156DA6}"/>
    <cellStyle name="Milliers 3 2 2 2 4 2" xfId="1882" xr:uid="{7467AC66-A735-48D2-957C-89788609AE01}"/>
    <cellStyle name="Milliers 3 2 2 2 5" xfId="1712" xr:uid="{56A9048F-6336-4976-AC9F-E880C40C8A96}"/>
    <cellStyle name="Milliers 3 2 2 2 5 2" xfId="1931" xr:uid="{2E90FEC7-1554-4E95-9057-4D904B3C253E}"/>
    <cellStyle name="Milliers 3 2 2 2 6" xfId="1786" xr:uid="{6707E869-E4F1-498A-A237-2A0FE7E24C55}"/>
    <cellStyle name="Milliers 3 2 2 3" xfId="1565" xr:uid="{41DD705D-F618-4E61-B701-A3431B0A32DF}"/>
    <cellStyle name="Milliers 3 2 2 3 2" xfId="1618" xr:uid="{2EBBD1C2-EEC0-4CC2-B0F1-B36EFC3B07FB}"/>
    <cellStyle name="Milliers 3 2 2 3 2 2" xfId="1846" xr:uid="{54B45A5E-D37C-4D22-A449-9180B953F8BD}"/>
    <cellStyle name="Milliers 3 2 2 3 3" xfId="1672" xr:uid="{582548B3-E5D4-4D74-849A-D4190FC6DC00}"/>
    <cellStyle name="Milliers 3 2 2 3 3 2" xfId="1894" xr:uid="{1A7471CF-5E76-40E6-B3C8-2EE3D9F66E49}"/>
    <cellStyle name="Milliers 3 2 2 3 4" xfId="1724" xr:uid="{D92D0512-E570-4FEB-9815-B6BA8207B1D6}"/>
    <cellStyle name="Milliers 3 2 2 3 4 2" xfId="1943" xr:uid="{592E1264-9FD6-4AB5-A5E7-5764DD484A55}"/>
    <cellStyle name="Milliers 3 2 2 3 5" xfId="1798" xr:uid="{7632C8B4-34B3-4295-A517-0D4ABBE0893C}"/>
    <cellStyle name="Milliers 3 2 2 4" xfId="1593" xr:uid="{6A68D5A0-C3DE-4B29-B803-BF112AA53611}"/>
    <cellStyle name="Milliers 3 2 2 4 2" xfId="1822" xr:uid="{6FEEE8FA-F98B-4612-8AA0-F8C29B3BCC50}"/>
    <cellStyle name="Milliers 3 2 2 5" xfId="1648" xr:uid="{92F9B5EF-3DB8-4399-B498-361A76FE8AC1}"/>
    <cellStyle name="Milliers 3 2 2 5 2" xfId="1870" xr:uid="{27E15E2F-2FD6-474D-933F-0F6F8E6C1DD8}"/>
    <cellStyle name="Milliers 3 2 2 6" xfId="1700" xr:uid="{458A3FFF-50F9-4550-A5D7-71938B5C5779}"/>
    <cellStyle name="Milliers 3 2 2 6 2" xfId="1919" xr:uid="{B5D95259-51B5-4165-9C98-62488B9DB924}"/>
    <cellStyle name="Milliers 3 2 2 7" xfId="1774" xr:uid="{5103F244-909A-4B19-AD2E-1262C2CABC30}"/>
    <cellStyle name="Milliers 3 2 3" xfId="1545" xr:uid="{5D89BD71-88F1-4976-8C80-86464DFDB5E1}"/>
    <cellStyle name="Milliers 3 2 3 2" xfId="1571" xr:uid="{051AD6BB-ED38-4FC3-9269-B6D95C032959}"/>
    <cellStyle name="Milliers 3 2 3 2 2" xfId="1624" xr:uid="{D5EAFD07-B16F-49A1-8B10-CE23A0F5D7F2}"/>
    <cellStyle name="Milliers 3 2 3 2 2 2" xfId="1852" xr:uid="{755C0E71-07FC-4B80-BE2C-DFB4C9609B2F}"/>
    <cellStyle name="Milliers 3 2 3 2 3" xfId="1678" xr:uid="{2AF1D44A-CDB1-450D-939E-92E27CA8C3C1}"/>
    <cellStyle name="Milliers 3 2 3 2 3 2" xfId="1900" xr:uid="{2896587E-5EB0-49AF-91C7-017415065717}"/>
    <cellStyle name="Milliers 3 2 3 2 4" xfId="1730" xr:uid="{FE16FF64-EF73-468E-8925-AE4E2EE7CDAE}"/>
    <cellStyle name="Milliers 3 2 3 2 4 2" xfId="1949" xr:uid="{D094D1DE-9597-4F74-9C2B-1AD86D015126}"/>
    <cellStyle name="Milliers 3 2 3 2 5" xfId="1804" xr:uid="{E99AC70A-9282-496C-B042-57E9A9F46889}"/>
    <cellStyle name="Milliers 3 2 3 3" xfId="1599" xr:uid="{8B288FEB-CAFB-41E9-9129-90D26DF11D39}"/>
    <cellStyle name="Milliers 3 2 3 3 2" xfId="1828" xr:uid="{2D5F49DF-A40B-4C48-BFFC-11F57420D465}"/>
    <cellStyle name="Milliers 3 2 3 4" xfId="1654" xr:uid="{5C3AC8D9-F894-49AD-B161-B1FC4F0A0FA8}"/>
    <cellStyle name="Milliers 3 2 3 4 2" xfId="1876" xr:uid="{9E03FD92-AE6B-4F54-AB2A-C9B7DBD27BFB}"/>
    <cellStyle name="Milliers 3 2 3 5" xfId="1706" xr:uid="{630561F7-E309-4B7B-9E53-F7DCFE97E723}"/>
    <cellStyle name="Milliers 3 2 3 5 2" xfId="1925" xr:uid="{A3FEE641-FCE9-4D05-A738-0A821C799399}"/>
    <cellStyle name="Milliers 3 2 3 6" xfId="1780" xr:uid="{B91BD598-8E2F-43B7-9C16-88CF6E9585B9}"/>
    <cellStyle name="Milliers 3 2 4" xfId="1559" xr:uid="{D2BF0484-91A4-46BF-A4BA-5BFD1400A389}"/>
    <cellStyle name="Milliers 3 2 4 2" xfId="1612" xr:uid="{5F56B0B9-8130-4F1B-B40E-034B980128AD}"/>
    <cellStyle name="Milliers 3 2 4 2 2" xfId="1840" xr:uid="{9BFEDEF1-B020-4BA9-A41D-63B0CD81CD41}"/>
    <cellStyle name="Milliers 3 2 4 3" xfId="1666" xr:uid="{B470CD73-0B55-4AC4-9351-4D7E9495ABF8}"/>
    <cellStyle name="Milliers 3 2 4 3 2" xfId="1888" xr:uid="{8AB1B2A7-F425-4038-AF85-5343CD5BC5E5}"/>
    <cellStyle name="Milliers 3 2 4 4" xfId="1718" xr:uid="{DE3A754B-3D66-4184-9444-8A2DF48C97B1}"/>
    <cellStyle name="Milliers 3 2 4 4 2" xfId="1937" xr:uid="{FF8061F8-37BA-406B-9427-4A02BE6BA1CE}"/>
    <cellStyle name="Milliers 3 2 4 5" xfId="1792" xr:uid="{BA3C0196-CA68-402F-8E88-8640D07D93A9}"/>
    <cellStyle name="Milliers 3 2 5" xfId="1529" xr:uid="{D1521A14-037C-4BBC-8AE4-4216E85348D4}"/>
    <cellStyle name="Milliers 3 2 5 2" xfId="1768" xr:uid="{F0EC292F-AD48-43F2-9407-564B51AE9269}"/>
    <cellStyle name="Milliers 3 2 6" xfId="1587" xr:uid="{2ECAE791-652B-42F4-99C7-176BBBBE6B95}"/>
    <cellStyle name="Milliers 3 2 6 2" xfId="1816" xr:uid="{74E60A4F-42EE-4682-AC93-3D981A132831}"/>
    <cellStyle name="Milliers 3 2 7" xfId="1642" xr:uid="{E2033573-EDBA-4ABD-A9C4-A11A9345692A}"/>
    <cellStyle name="Milliers 3 2 7 2" xfId="1864" xr:uid="{9CE0E18C-A764-479E-9A30-B72BD0D63CDA}"/>
    <cellStyle name="Milliers 3 2 8" xfId="1694" xr:uid="{95F91ADE-0FBF-4913-9CA2-9A89D31C541C}"/>
    <cellStyle name="Milliers 3 2 8 2" xfId="1913" xr:uid="{7253C2D0-C4F0-417B-9D4D-354EB00BC0CF}"/>
    <cellStyle name="Milliers 3 2 9" xfId="1762" xr:uid="{F67FA39E-B276-4903-B04B-4B537B08883C}"/>
    <cellStyle name="Milliers 3 3" xfId="1532" xr:uid="{FB0020FB-8592-492D-9557-D73C9AFD0CEC}"/>
    <cellStyle name="Milliers 3 3 2" xfId="1548" xr:uid="{E93A77A0-42CA-4C29-95D3-D0D9A6D26AD5}"/>
    <cellStyle name="Milliers 3 3 2 2" xfId="1574" xr:uid="{2EC9C636-6F5C-429E-936F-55AB27DBEE0F}"/>
    <cellStyle name="Milliers 3 3 2 2 2" xfId="1627" xr:uid="{3AE82FF5-330A-4FC8-A4BE-4A3C7B2C3F9C}"/>
    <cellStyle name="Milliers 3 3 2 2 2 2" xfId="1855" xr:uid="{4A890EA4-8208-43AB-BEBB-19C079C2A05F}"/>
    <cellStyle name="Milliers 3 3 2 2 3" xfId="1681" xr:uid="{99AC8EF7-8A19-4D44-BE5C-E019423635D0}"/>
    <cellStyle name="Milliers 3 3 2 2 3 2" xfId="1903" xr:uid="{53106322-A7AD-4282-8A9E-EFFB5E57AEC3}"/>
    <cellStyle name="Milliers 3 3 2 2 4" xfId="1733" xr:uid="{E22CB58E-FFA4-4CA4-876C-D32837422AD7}"/>
    <cellStyle name="Milliers 3 3 2 2 4 2" xfId="1952" xr:uid="{FF5D955F-B556-49FF-BA37-6FC287DD8119}"/>
    <cellStyle name="Milliers 3 3 2 2 5" xfId="1807" xr:uid="{52B8782F-2E05-4903-AB35-8C2DC36997C4}"/>
    <cellStyle name="Milliers 3 3 2 3" xfId="1602" xr:uid="{3B411830-1DDA-40B6-AF83-6C4C453CA569}"/>
    <cellStyle name="Milliers 3 3 2 3 2" xfId="1831" xr:uid="{EF66CF47-EB0F-40A5-91AC-5C3C3E2E2DEC}"/>
    <cellStyle name="Milliers 3 3 2 4" xfId="1657" xr:uid="{7F52E7FB-7214-4C7B-AA65-3B8A9C184FF2}"/>
    <cellStyle name="Milliers 3 3 2 4 2" xfId="1879" xr:uid="{57DF3B4F-349A-4213-8B7F-272629393525}"/>
    <cellStyle name="Milliers 3 3 2 5" xfId="1709" xr:uid="{A01EB43F-A727-4B93-B991-6DFF1F522A6E}"/>
    <cellStyle name="Milliers 3 3 2 5 2" xfId="1928" xr:uid="{659ADE19-CD72-41DA-8373-EDC7EAADA6CA}"/>
    <cellStyle name="Milliers 3 3 2 6" xfId="1783" xr:uid="{C7F28363-F8BF-4EF7-A09C-9E3AD6AC5F28}"/>
    <cellStyle name="Milliers 3 3 3" xfId="1562" xr:uid="{C74D0D72-9767-48CE-A82E-A1F704A855F3}"/>
    <cellStyle name="Milliers 3 3 3 2" xfId="1615" xr:uid="{478412B3-4451-4C10-B14D-C0CB5AF8E599}"/>
    <cellStyle name="Milliers 3 3 3 2 2" xfId="1843" xr:uid="{A7F2D2A6-5EBD-43FE-B350-C813BDEB2CF6}"/>
    <cellStyle name="Milliers 3 3 3 3" xfId="1669" xr:uid="{C98FA838-B2DD-4AF1-B2DE-A6D7DC4F46D2}"/>
    <cellStyle name="Milliers 3 3 3 3 2" xfId="1891" xr:uid="{3CE588C4-DDA2-4161-94B1-44076E53D219}"/>
    <cellStyle name="Milliers 3 3 3 4" xfId="1721" xr:uid="{DC080C95-547B-45E9-8894-E807725C1450}"/>
    <cellStyle name="Milliers 3 3 3 4 2" xfId="1940" xr:uid="{6C5464D2-C0C8-4EAA-9F98-A01F9CE330A7}"/>
    <cellStyle name="Milliers 3 3 3 5" xfId="1795" xr:uid="{1B0BCA06-9555-4145-B5A8-EDC560C4DE03}"/>
    <cellStyle name="Milliers 3 3 4" xfId="1590" xr:uid="{3E6C5F92-162D-489F-9114-87EF4133595B}"/>
    <cellStyle name="Milliers 3 3 4 2" xfId="1819" xr:uid="{2805978C-EDCE-44A5-A263-EC357F0039CC}"/>
    <cellStyle name="Milliers 3 3 5" xfId="1645" xr:uid="{7DD11E3C-EC1A-40B5-95CE-2A2446F5F691}"/>
    <cellStyle name="Milliers 3 3 5 2" xfId="1867" xr:uid="{E7602700-2FB8-4253-8DE3-B5718E8D5CF2}"/>
    <cellStyle name="Milliers 3 3 6" xfId="1697" xr:uid="{2BF7944A-301B-49AA-9D34-DFFE5EA94D28}"/>
    <cellStyle name="Milliers 3 3 6 2" xfId="1916" xr:uid="{2C2092DF-0363-4DE3-9754-F30D82703B3D}"/>
    <cellStyle name="Milliers 3 3 7" xfId="1771" xr:uid="{D68515E9-C78B-46F1-B3FC-14F79F00E29F}"/>
    <cellStyle name="Milliers 3 4" xfId="1542" xr:uid="{2E12B6FC-1A5D-44AB-AF06-89A7C6AF3563}"/>
    <cellStyle name="Milliers 3 4 2" xfId="1568" xr:uid="{804BC1A8-5597-4951-AA94-1B3974DE57EE}"/>
    <cellStyle name="Milliers 3 4 2 2" xfId="1621" xr:uid="{35FACE37-426E-436B-BC5A-8DBF1364CAC6}"/>
    <cellStyle name="Milliers 3 4 2 2 2" xfId="1849" xr:uid="{1F8C1FDD-96B0-4FCE-A0F7-FD15E0BA6A0A}"/>
    <cellStyle name="Milliers 3 4 2 3" xfId="1675" xr:uid="{A71D438E-6783-4A8B-B30E-94153B0DCB3F}"/>
    <cellStyle name="Milliers 3 4 2 3 2" xfId="1897" xr:uid="{87D9D02D-0230-4B87-8B41-18151545208F}"/>
    <cellStyle name="Milliers 3 4 2 4" xfId="1727" xr:uid="{E4CA953D-6786-4ABC-B5DA-C1662AE3ED14}"/>
    <cellStyle name="Milliers 3 4 2 4 2" xfId="1946" xr:uid="{C1A7D8DC-9628-4181-8856-BA5BFE38240D}"/>
    <cellStyle name="Milliers 3 4 2 5" xfId="1801" xr:uid="{A4ECE595-A643-45CC-AA43-B0F1616F519F}"/>
    <cellStyle name="Milliers 3 4 3" xfId="1596" xr:uid="{1F2C643F-4B8C-4E1B-A854-67EADD7A2931}"/>
    <cellStyle name="Milliers 3 4 3 2" xfId="1825" xr:uid="{5932775C-01F9-4CBB-B583-3041032EAB40}"/>
    <cellStyle name="Milliers 3 4 4" xfId="1651" xr:uid="{16C91F8F-C285-4890-8ABD-29B999FD9C3E}"/>
    <cellStyle name="Milliers 3 4 4 2" xfId="1873" xr:uid="{1305FD26-42DB-4105-8791-C1EED81B4E3D}"/>
    <cellStyle name="Milliers 3 4 5" xfId="1703" xr:uid="{AB422688-7ECB-43BF-9398-4C0EC7C16ACD}"/>
    <cellStyle name="Milliers 3 4 5 2" xfId="1922" xr:uid="{4BD69E6B-D0D3-468E-B4F8-1E099FE057E5}"/>
    <cellStyle name="Milliers 3 4 6" xfId="1777" xr:uid="{397C754E-23F7-4ECE-9AFE-3CED6CF5FB9B}"/>
    <cellStyle name="Milliers 3 5" xfId="1556" xr:uid="{DA25DA15-FC0A-442F-99BE-BAEA2586A251}"/>
    <cellStyle name="Milliers 3 5 2" xfId="1609" xr:uid="{8748BF05-AB43-4FBA-8C8B-B941F9DC05E0}"/>
    <cellStyle name="Milliers 3 5 2 2" xfId="1837" xr:uid="{4ACF1B26-BFBF-4823-9E87-61EDC5FE8979}"/>
    <cellStyle name="Milliers 3 5 3" xfId="1663" xr:uid="{DCF9B834-82A6-496E-BB1C-B57785A3CA35}"/>
    <cellStyle name="Milliers 3 5 3 2" xfId="1885" xr:uid="{26066F7A-391B-48E0-A1A1-A99D5EB2F945}"/>
    <cellStyle name="Milliers 3 5 4" xfId="1715" xr:uid="{F37C67F6-DB4E-467B-B0BC-26DCA125EDDF}"/>
    <cellStyle name="Milliers 3 5 4 2" xfId="1934" xr:uid="{4D751234-73A4-44EE-A3D6-B4B1C739CA0F}"/>
    <cellStyle name="Milliers 3 5 5" xfId="1789" xr:uid="{4F1433C4-B91F-4056-A9EA-4831EE3F2D69}"/>
    <cellStyle name="Milliers 3 6" xfId="1526" xr:uid="{611924A1-B92C-4567-9C2A-EDA585C06AB8}"/>
    <cellStyle name="Milliers 3 6 2" xfId="1765" xr:uid="{34C01E8F-3D71-4D68-98AF-35BB47980F9F}"/>
    <cellStyle name="Milliers 3 7" xfId="1584" xr:uid="{BF803056-2DFC-4C68-B769-862E44C109C4}"/>
    <cellStyle name="Milliers 3 7 2" xfId="1813" xr:uid="{C0B2555A-F57E-4443-9AB4-3EFB48E23BEC}"/>
    <cellStyle name="Milliers 3 8" xfId="1639" xr:uid="{57547C50-3321-4CE8-B7F9-287CEEEAD1A4}"/>
    <cellStyle name="Milliers 3 8 2" xfId="1861" xr:uid="{1D14007A-CFCD-480F-A19C-27BAC4919010}"/>
    <cellStyle name="Milliers 3 9" xfId="1691" xr:uid="{9467DEC4-81BD-495B-B779-0EA67F86C6B7}"/>
    <cellStyle name="Milliers 3 9 2" xfId="1910" xr:uid="{365E4D3A-42FB-44B0-8C59-1BAEC1399F68}"/>
    <cellStyle name="Milliers 4" xfId="1508" xr:uid="{87759BA0-570B-4FEF-810A-A6B1BD69256D}"/>
    <cellStyle name="Milliers 4 2" xfId="1759" xr:uid="{1D227467-0D8D-4437-A60D-5E555B78AEC0}"/>
    <cellStyle name="Milliers 5" xfId="1579" xr:uid="{C0FE6890-7E53-4333-8694-4A3407E9A5DA}"/>
    <cellStyle name="Milliers 6" xfId="1090" xr:uid="{3673ADB3-074D-40B1-B53B-E554225CE276}"/>
    <cellStyle name="Milliers 6 2" xfId="1488" xr:uid="{1329F98E-0B59-4662-998A-7F1EA6C2699D}"/>
    <cellStyle name="Milliers 7" xfId="1740" xr:uid="{0D27D322-BDC9-47E3-AF21-0F1E51ED2B64}"/>
    <cellStyle name="Milliers 7 2" xfId="1957" xr:uid="{616CB212-4412-4279-8C1F-2932D6DDA772}"/>
    <cellStyle name="Monétaire 2" xfId="47" xr:uid="{D68436F6-129E-46F6-B3C3-FA0D8D8D8471}"/>
    <cellStyle name="Monétaire 2 2" xfId="1497" xr:uid="{5831FEF6-5FC9-49D4-8C55-EE51BF3D5F40}"/>
    <cellStyle name="Monétaire 2 2 2" xfId="1755" xr:uid="{BB4AB95C-EEB7-4A11-9DCA-3470397C4B4E}"/>
    <cellStyle name="Monétaire 2 3" xfId="1754" xr:uid="{B83B3D43-1079-41FA-A04D-62B0AF583C2A}"/>
    <cellStyle name="Monétaire 3" xfId="1498" xr:uid="{4D90FE0E-0D4D-4C49-89E9-7F20AE754B53}"/>
    <cellStyle name="Monétaire 3 2" xfId="1756" xr:uid="{D7605479-B771-465F-BE10-204F0C47CBE2}"/>
    <cellStyle name="Monétaire 4" xfId="1686" xr:uid="{EF6D3A0F-2679-459F-A21E-B3D8552D87DE}"/>
    <cellStyle name="Monétaire 4 2" xfId="1908" xr:uid="{17926F3B-15DC-4205-842B-0397B708B232}"/>
    <cellStyle name="Neutre 2" xfId="472" xr:uid="{E1229E97-2E37-4B7C-A21E-1B88A95B89DB}"/>
    <cellStyle name="Neutre 3" xfId="37" xr:uid="{4E78B656-7BD7-4475-A5E0-7446C2EB75F6}"/>
    <cellStyle name="Normal" xfId="0" builtinId="0"/>
    <cellStyle name="Normal - Style1" xfId="57" xr:uid="{7D09AD5C-26E5-4124-A179-278C8C4C16AB}"/>
    <cellStyle name="Normal 10" xfId="79" xr:uid="{95E5F40C-8A9F-40D0-913A-8475F6CD05FE}"/>
    <cellStyle name="Normal 10 2" xfId="473" xr:uid="{CABF8B29-1673-4C76-A8FE-4547D8414184}"/>
    <cellStyle name="Normal 10 3" xfId="1124" xr:uid="{1C457D97-9A3C-478B-8966-C3BB37DDA649}"/>
    <cellStyle name="Normal 100" xfId="670" xr:uid="{9E694C1E-09F4-4D7B-89B3-0DD54EB883A7}"/>
    <cellStyle name="Normal 101" xfId="668" xr:uid="{C2E777C9-9813-423E-8685-23E24F734456}"/>
    <cellStyle name="Normal 102" xfId="689" xr:uid="{575E91A2-6A68-48B9-9E3E-AE05C9779778}"/>
    <cellStyle name="Normal 103" xfId="675" xr:uid="{0E5D4A46-DC5A-4A4A-801C-8FF724977A5F}"/>
    <cellStyle name="Normal 104" xfId="688" xr:uid="{903A7E85-ADE7-41D7-99F6-F0B41F74B521}"/>
    <cellStyle name="Normal 105" xfId="685" xr:uid="{D8386F87-1542-4825-BC79-B010E95465A8}"/>
    <cellStyle name="Normal 106" xfId="690" xr:uid="{4315821D-C3EC-4061-8DD1-2CED802FA1CB}"/>
    <cellStyle name="Normal 107" xfId="691" xr:uid="{37FC3D39-3226-4BA8-A736-B5A522774043}"/>
    <cellStyle name="Normal 108" xfId="692" xr:uid="{91984C1E-E03A-4382-AEBA-22CC91F37DDA}"/>
    <cellStyle name="Normal 109" xfId="694" xr:uid="{001A7AD9-4705-435D-8FC5-ECFCFB700A88}"/>
    <cellStyle name="Normal 11" xfId="63" xr:uid="{EDCD3DCB-97CD-4538-A877-0ACCD7FCE956}"/>
    <cellStyle name="Normal 11 2" xfId="474" xr:uid="{449FC9B8-02EF-4812-A0E5-6F6DD4A99FF5}"/>
    <cellStyle name="Normal 11 3" xfId="1108" xr:uid="{6B286E1F-A7B1-4417-B53C-AD7214EDADB8}"/>
    <cellStyle name="Normal 11 4" xfId="1501" xr:uid="{4582562F-121F-4F09-BB51-4B2C37D16206}"/>
    <cellStyle name="Normal 110" xfId="693" xr:uid="{D8C898CD-3596-49EA-97B3-C9D20A5371F3}"/>
    <cellStyle name="Normal 111" xfId="708" xr:uid="{4E757F8D-01B8-4AF5-873C-783684C58AF5}"/>
    <cellStyle name="Normal 112" xfId="709" xr:uid="{871DEE13-BA47-452B-AE23-5EB1F5B9EC1E}"/>
    <cellStyle name="Normal 113" xfId="710" xr:uid="{DD59D34D-8A41-419A-AF5A-E685D270A538}"/>
    <cellStyle name="Normal 114" xfId="711" xr:uid="{331C023E-8B4D-4572-8C00-EC124D4DC83F}"/>
    <cellStyle name="Normal 115" xfId="712" xr:uid="{A6187B1F-7E9B-4FCA-B705-DE38F39D266D}"/>
    <cellStyle name="Normal 116" xfId="713" xr:uid="{954AEEF9-1C4C-483A-A2A6-9219640B3FAB}"/>
    <cellStyle name="Normal 117" xfId="718" xr:uid="{01374E1D-0DC9-4CD6-9727-1A75DEA2B3E1}"/>
    <cellStyle name="Normal 118" xfId="717" xr:uid="{CB65CE34-D08D-441F-998D-18368B13F9CC}"/>
    <cellStyle name="Normal 119" xfId="719" xr:uid="{876A3E9E-19B1-49C2-B665-2A28EFB390BD}"/>
    <cellStyle name="Normal 12" xfId="67" xr:uid="{27ED1EB2-B5A1-4205-8456-59E888B749D6}"/>
    <cellStyle name="Normal 12 2" xfId="475" xr:uid="{500DA400-9A2F-4A76-B303-D7FF9CA6DD7A}"/>
    <cellStyle name="Normal 12 3" xfId="1112" xr:uid="{5A1D6B7F-2DEB-4FFF-B734-F3D3D7D3C00F}"/>
    <cellStyle name="Normal 12 4" xfId="1505" xr:uid="{F59236CA-2EB2-4C6B-B924-785BC80CD870}"/>
    <cellStyle name="Normal 120" xfId="714" xr:uid="{E2BFBEDE-6C2F-49B7-9AD5-C07D436C0E62}"/>
    <cellStyle name="Normal 121" xfId="721" xr:uid="{258B4B63-4FC9-4E86-839B-46CA5201C13B}"/>
    <cellStyle name="Normal 122" xfId="733" xr:uid="{5BD1CE53-D3C3-41DC-A2CE-843C10870248}"/>
    <cellStyle name="Normal 123" xfId="716" xr:uid="{0AE868A7-0532-4A05-B5AB-0692162DBC4A}"/>
    <cellStyle name="Normal 124" xfId="715" xr:uid="{437AF1B0-72D8-4762-A051-DF66318C6B58}"/>
    <cellStyle name="Normal 125" xfId="739" xr:uid="{CD0CD8BC-396F-451C-B759-CE7116C7C8EF}"/>
    <cellStyle name="Normal 126" xfId="722" xr:uid="{DD420530-D45E-4B33-9EB5-65161C9BC14E}"/>
    <cellStyle name="Normal 127" xfId="737" xr:uid="{C1780729-937E-4FB9-B266-EA9406056B5F}"/>
    <cellStyle name="Normal 128" xfId="736" xr:uid="{EFA46D6B-0A21-45EC-B1DA-A78165B20A8C}"/>
    <cellStyle name="Normal 129" xfId="738" xr:uid="{1460C24F-7985-4234-AB35-23A0E4CD72BB}"/>
    <cellStyle name="Normal 13" xfId="62" xr:uid="{1ACA3654-7FA0-4747-B0FB-3DFFFD6417C6}"/>
    <cellStyle name="Normal 13 2" xfId="476" xr:uid="{ADFC0536-1259-4075-99A6-9798745E0A9B}"/>
    <cellStyle name="Normal 13 3" xfId="1107" xr:uid="{2DA5C0DB-DBA5-41B2-A9CE-6182C4016156}"/>
    <cellStyle name="Normal 13 4" xfId="1506" xr:uid="{8081556C-2C3D-47BE-B038-AF4D0EB69E4C}"/>
    <cellStyle name="Normal 130" xfId="740" xr:uid="{CD994A20-3F9F-48B9-BDCC-E86CCD45EE75}"/>
    <cellStyle name="Normal 131" xfId="741" xr:uid="{4C82C10A-EDD8-4ABC-9F61-8F03D8A07A80}"/>
    <cellStyle name="Normal 132" xfId="743" xr:uid="{1831902D-038C-4FD5-8CDE-6A512A488362}"/>
    <cellStyle name="Normal 133" xfId="750" xr:uid="{8444EFC2-3103-4587-A431-9CA0F232516F}"/>
    <cellStyle name="Normal 134" xfId="753" xr:uid="{9A507449-ECD5-4107-8900-8AF5FD8F22A4}"/>
    <cellStyle name="Normal 135" xfId="758" xr:uid="{E3252534-7F55-49E1-A58C-42BB131135DF}"/>
    <cellStyle name="Normal 136" xfId="764" xr:uid="{D54ADDED-56E9-4B79-A969-460FB01747A5}"/>
    <cellStyle name="Normal 137" xfId="763" xr:uid="{493EA2A5-D34E-4FAE-85F1-6B27C1C1211C}"/>
    <cellStyle name="Normal 138" xfId="765" xr:uid="{76DF7317-0E2C-4142-A1C8-1F980891DC49}"/>
    <cellStyle name="Normal 139" xfId="760" xr:uid="{BB9BF430-0EA8-48FC-871D-97970A1BFF8A}"/>
    <cellStyle name="Normal 14" xfId="83" xr:uid="{7425ACE0-EA55-4CBC-939C-7DD00D81D589}"/>
    <cellStyle name="Normal 14 2" xfId="477" xr:uid="{8D5503A6-3156-4B00-8DA4-0458B922C1A5}"/>
    <cellStyle name="Normal 14 3" xfId="1128" xr:uid="{DBC43B9A-A051-47BC-B462-513DF56E63BF}"/>
    <cellStyle name="Normal 14 4" xfId="1491" xr:uid="{24523498-3B1B-47A9-8664-1A6EECA43FB4}"/>
    <cellStyle name="Normal 140" xfId="767" xr:uid="{0BCD2BB9-4459-41FC-9C7B-F2A774F879CA}"/>
    <cellStyle name="Normal 141" xfId="778" xr:uid="{AD11FE56-113D-4AAE-9017-2B9062D887E7}"/>
    <cellStyle name="Normal 142" xfId="762" xr:uid="{A33CE752-CAF8-4D17-BF58-193F46D837BE}"/>
    <cellStyle name="Normal 143" xfId="761" xr:uid="{95450C92-D1E8-42AB-B9F5-D01E6EEA26BA}"/>
    <cellStyle name="Normal 144" xfId="759" xr:uid="{15E26BA8-3563-4216-B669-8BB7EDFC2BF2}"/>
    <cellStyle name="Normal 145" xfId="781" xr:uid="{F06DA3A7-FA80-4C44-9F18-A77F18A3626B}"/>
    <cellStyle name="Normal 146" xfId="783" xr:uid="{74333878-E726-4BF2-A1DB-49FEEAB441C9}"/>
    <cellStyle name="Normal 147" xfId="782" xr:uid="{2E9D9BAE-75AA-4276-96F7-3C6ECD7B4D78}"/>
    <cellStyle name="Normal 148" xfId="797" xr:uid="{8D863403-D8DF-4799-B9B1-147FC2EAA527}"/>
    <cellStyle name="Normal 149" xfId="798" xr:uid="{4784DDAF-6BAE-4192-9787-A2666902D97A}"/>
    <cellStyle name="Normal 15" xfId="85" xr:uid="{6CD9CE6B-99D7-4FE2-9236-0E7E93EA49C7}"/>
    <cellStyle name="Normal 15 2" xfId="478" xr:uid="{D586E4B8-D814-4A1F-9615-BB3B588D56C9}"/>
    <cellStyle name="Normal 15 3" xfId="1130" xr:uid="{E9D3BF07-5C3C-48C0-A9AA-D027CF9CD84D}"/>
    <cellStyle name="Normal 15 4" xfId="1490" xr:uid="{C3776640-8C89-4384-A276-F2AEFD23D211}"/>
    <cellStyle name="Normal 150" xfId="799" xr:uid="{02A9C120-B292-40F3-87A8-F67285F3E3B9}"/>
    <cellStyle name="Normal 151" xfId="800" xr:uid="{D7FBE5ED-C03C-4E97-A7A6-636B189C319D}"/>
    <cellStyle name="Normal 152" xfId="801" xr:uid="{65CFC494-FCF7-4859-B3E0-ADE40FBC1B6F}"/>
    <cellStyle name="Normal 153" xfId="802" xr:uid="{7F17A4DB-2B2B-413D-8EFB-D70F400825AD}"/>
    <cellStyle name="Normal 154" xfId="805" xr:uid="{F48FDDC3-8028-4A05-9E29-23F358DE9029}"/>
    <cellStyle name="Normal 155" xfId="804" xr:uid="{1177810A-C118-4642-8597-728186451CD6}"/>
    <cellStyle name="Normal 156" xfId="806" xr:uid="{1FD6BEFE-29D8-40DD-B6C9-97CCE5237D87}"/>
    <cellStyle name="Normal 157" xfId="803" xr:uid="{BF3BE9BB-CD00-429B-A2EB-B8C14A25BE3C}"/>
    <cellStyle name="Normal 158" xfId="812" xr:uid="{BE25FB8A-017F-4907-8935-CC6A27B431FB}"/>
    <cellStyle name="Normal 159" xfId="821" xr:uid="{C0BE43AF-68A4-48EC-B518-5B1197B37CF4}"/>
    <cellStyle name="Normal 16" xfId="92" xr:uid="{EED52FEC-5104-4DC1-99BE-E1CDF6038A48}"/>
    <cellStyle name="Normal 16 2" xfId="479" xr:uid="{8E90AD9A-2F62-4F5F-8330-A6953663BC8E}"/>
    <cellStyle name="Normal 16 3" xfId="1137" xr:uid="{080C6CB1-FF25-424C-9EB9-235BCB2D55BC}"/>
    <cellStyle name="Normal 160" xfId="822" xr:uid="{05CEC79E-402D-4DE1-8267-9D936B220532}"/>
    <cellStyle name="Normal 161" xfId="825" xr:uid="{480A6919-3BC0-4438-A892-CA65BB7CC0A1}"/>
    <cellStyle name="Normal 162" xfId="824" xr:uid="{980322F0-6C28-4425-9C54-8D7E396CA53A}"/>
    <cellStyle name="Normal 163" xfId="826" xr:uid="{11E26A47-9543-4B53-9337-745993264C61}"/>
    <cellStyle name="Normal 164" xfId="823" xr:uid="{6480D1FA-C98A-4595-9E2D-007D381BF0FB}"/>
    <cellStyle name="Normal 165" xfId="840" xr:uid="{C341AA0B-D721-4A87-9CE6-020CCED42BEE}"/>
    <cellStyle name="Normal 166" xfId="841" xr:uid="{8542CA24-A3B0-4D3A-B1D3-60B53AFB9104}"/>
    <cellStyle name="Normal 167" xfId="855" xr:uid="{68BD9629-E19B-4B0C-94BD-062E56206577}"/>
    <cellStyle name="Normal 168" xfId="857" xr:uid="{7FDEE76E-BC4E-456D-89D8-0447F70A6C08}"/>
    <cellStyle name="Normal 169" xfId="858" xr:uid="{70BCBA7F-F123-4417-B6EF-864FEE8D94FB}"/>
    <cellStyle name="Normal 17" xfId="87" xr:uid="{E5BBAF95-CB4E-4C12-9322-34D76D9591B7}"/>
    <cellStyle name="Normal 17 2" xfId="480" xr:uid="{965FCE16-0F4C-444A-B75F-14EEBAABA386}"/>
    <cellStyle name="Normal 17 3" xfId="1132" xr:uid="{10AADCDD-03E9-4000-AF8E-5FC0DCDF28F6}"/>
    <cellStyle name="Normal 170" xfId="856" xr:uid="{32CD26BC-E213-4656-BFDB-B83EEEE090A8}"/>
    <cellStyle name="Normal 171" xfId="859" xr:uid="{4C62B543-C134-4118-93C3-5A5832C49928}"/>
    <cellStyle name="Normal 172" xfId="861" xr:uid="{B1AA1016-EEF8-48DF-941A-3AF488058D75}"/>
    <cellStyle name="Normal 173" xfId="860" xr:uid="{EBE34CA4-9D79-4321-AC7C-0723B1193E53}"/>
    <cellStyle name="Normal 174" xfId="862" xr:uid="{1CCE054D-B1CF-4E8E-9E57-7182ED61F3F0}"/>
    <cellStyle name="Normal 175" xfId="876" xr:uid="{00BEA212-76A5-4FB9-A259-7725B7457AB5}"/>
    <cellStyle name="Normal 176" xfId="877" xr:uid="{EF77D405-6775-437C-B3A4-F9AC341F496E}"/>
    <cellStyle name="Normal 177" xfId="891" xr:uid="{5F468AF7-C690-4AF6-AD97-791D6FA22F8B}"/>
    <cellStyle name="Normal 178" xfId="892" xr:uid="{A248FED5-D5BF-4A88-8D10-8B384F8986CA}"/>
    <cellStyle name="Normal 179" xfId="906" xr:uid="{D8FC9573-4CE6-4782-A27E-281C25874CE5}"/>
    <cellStyle name="Normal 18" xfId="91" xr:uid="{875672E8-D309-4C40-A13B-5627754E842D}"/>
    <cellStyle name="Normal 18 2" xfId="481" xr:uid="{D5DC8A89-FD9D-47A3-A6EA-C849661B0E17}"/>
    <cellStyle name="Normal 18 3" xfId="1136" xr:uid="{A42FAAE5-27E9-4DD9-9729-1A033DA693FA}"/>
    <cellStyle name="Normal 180" xfId="920" xr:uid="{4B8EC93D-2038-4B5D-89D8-0F90BC549316}"/>
    <cellStyle name="Normal 181" xfId="922" xr:uid="{81BD4718-98B3-4EE7-B358-581267BBF3C1}"/>
    <cellStyle name="Normal 182" xfId="921" xr:uid="{BCDA1935-7BDC-450A-836C-255FAF1BDF18}"/>
    <cellStyle name="Normal 183" xfId="936" xr:uid="{2A7D1CEA-9166-4ABB-90CC-77C8434DE86C}"/>
    <cellStyle name="Normal 184" xfId="937" xr:uid="{FB02108D-CBC4-4051-80E0-9989408A16AA}"/>
    <cellStyle name="Normal 185" xfId="952" xr:uid="{91761834-F359-4B25-8DB0-233D3F89EB1C}"/>
    <cellStyle name="Normal 186" xfId="951" xr:uid="{F7DAD250-5305-45DD-B535-D042DF944BF2}"/>
    <cellStyle name="Normal 187" xfId="953" xr:uid="{A08630FB-AE78-415F-B559-D401058B81A6}"/>
    <cellStyle name="Normal 188" xfId="954" xr:uid="{CD889671-7017-49E8-8068-7ED06A1442D3}"/>
    <cellStyle name="Normal 189" xfId="955" xr:uid="{FD910794-9CAE-450C-9D2C-181D8D3784F2}"/>
    <cellStyle name="Normal 19" xfId="95" xr:uid="{6060B274-0C9D-4203-8ADA-4E3B2D3261DD}"/>
    <cellStyle name="Normal 19 2" xfId="482" xr:uid="{82D3E18E-BA8E-4B6C-89CC-FAC1F39EAC49}"/>
    <cellStyle name="Normal 19 3" xfId="1140" xr:uid="{2E59897C-F8A0-4D24-A2AF-7695DEAEB223}"/>
    <cellStyle name="Normal 190" xfId="969" xr:uid="{1A8056E1-E0D8-429C-AB08-BDBAF8DEE7B9}"/>
    <cellStyle name="Normal 191" xfId="970" xr:uid="{6071D4B1-8859-41D6-9467-F38ADAE96B89}"/>
    <cellStyle name="Normal 192" xfId="971" xr:uid="{F0C443F0-31E7-493E-A962-9BB5F26333E7}"/>
    <cellStyle name="Normal 193" xfId="985" xr:uid="{12A745DD-DCC0-4D71-80E3-6375CCBBCFE7}"/>
    <cellStyle name="Normal 194" xfId="986" xr:uid="{5486BDCA-0BEA-4016-AC12-C0B07E58871C}"/>
    <cellStyle name="Normal 195" xfId="990" xr:uid="{35D0713A-491E-4C30-ADD7-D7D21DDB688F}"/>
    <cellStyle name="Normal 196" xfId="1001" xr:uid="{77DDC570-0D4E-4384-9875-6ECF7BA2AA88}"/>
    <cellStyle name="Normal 197" xfId="1002" xr:uid="{E6179329-AD7B-47C9-9976-C312BA1B0B2E}"/>
    <cellStyle name="Normal 198" xfId="1003" xr:uid="{A69F62C4-14A4-4E0D-9E24-F69735F9801B}"/>
    <cellStyle name="Normal 199" xfId="1017" xr:uid="{A39037FC-6CD2-4A9D-A4DC-0AB7B8BA741E}"/>
    <cellStyle name="Normal 2" xfId="59" xr:uid="{F965E287-CB02-4C78-B8BF-EEAB6024A8BE}"/>
    <cellStyle name="Normal 2 10" xfId="1741" xr:uid="{5D56D5B7-FD9D-4C15-BB24-12FF58AB3D37}"/>
    <cellStyle name="Normal 2 2" xfId="483" xr:uid="{B01E6166-27C9-46D2-9AD1-B221056C3161}"/>
    <cellStyle name="Normal 2 2 2" xfId="1504" xr:uid="{0434824B-A985-4D04-B16D-66A9AB2AD8B1}"/>
    <cellStyle name="Normal 2 3" xfId="1104" xr:uid="{CEA80F79-6BC2-4077-B2C8-E41261AFEA45}"/>
    <cellStyle name="Normal 2 4" xfId="1511" xr:uid="{E4D59B55-0AEA-440F-91E9-B8AE5E70C9C8}"/>
    <cellStyle name="Normal 2 5" xfId="1516" xr:uid="{84FDF16B-BBF0-439C-B373-45CAC2BB361C}"/>
    <cellStyle name="Normal 2 6" xfId="1525" xr:uid="{9DD676E3-9385-41A1-8AEB-15C678685E06}"/>
    <cellStyle name="Normal 2 7" xfId="1583" xr:uid="{778FBC85-1394-493B-96BD-6103B57235B4}"/>
    <cellStyle name="Normal 2 8" xfId="1638" xr:uid="{25A0AD73-E81F-43DD-B3BC-58BED04F599C}"/>
    <cellStyle name="Normal 2 9" xfId="1690" xr:uid="{4D56E6A0-2F3F-4D92-BDCA-104955D0CCE5}"/>
    <cellStyle name="Normal 20" xfId="94" xr:uid="{1F37B984-7AF4-410F-8C43-1D1B7717199B}"/>
    <cellStyle name="Normal 20 2" xfId="484" xr:uid="{749F306B-CF86-46FF-94C9-F98B1FFAFAF9}"/>
    <cellStyle name="Normal 20 3" xfId="1139" xr:uid="{4D25CAB1-C105-4EFC-BCB2-18D4385EB21B}"/>
    <cellStyle name="Normal 200" xfId="1019" xr:uid="{0EB36A81-FEFE-4898-968F-21311BDCDA0A}"/>
    <cellStyle name="Normal 201" xfId="1018" xr:uid="{9FA9D36D-A4A1-45A0-8621-6E3DF4C84668}"/>
    <cellStyle name="Normal 202" xfId="1033" xr:uid="{620A78C7-BBCA-49DD-82AE-73B991E16CE6}"/>
    <cellStyle name="Normal 203" xfId="1034" xr:uid="{12762F3E-C237-4300-A751-E7D79D8A2DEE}"/>
    <cellStyle name="Normal 204" xfId="1048" xr:uid="{48D12476-DC31-451D-9F8F-AA2A857C5B27}"/>
    <cellStyle name="Normal 205" xfId="1051" xr:uid="{1A81AF78-CEAD-4608-8D7B-968151671889}"/>
    <cellStyle name="Normal 206" xfId="1050" xr:uid="{F043D9FF-1C62-45C6-B3D9-BE223DC846AC}"/>
    <cellStyle name="Normal 207" xfId="1052" xr:uid="{10C74D20-B6D4-44A4-A947-670F837A6964}"/>
    <cellStyle name="Normal 208" xfId="1049" xr:uid="{156A9D9E-D1B0-4331-9C1F-E1165C460AED}"/>
    <cellStyle name="Normal 209" xfId="1054" xr:uid="{A26D0847-796A-4F2D-86D7-B88CAA8F0419}"/>
    <cellStyle name="Normal 21" xfId="99" xr:uid="{B319F74E-9B09-486E-85DF-72698BDEE105}"/>
    <cellStyle name="Normal 21 2" xfId="485" xr:uid="{829C6FF3-B43F-4DCE-8D66-FF492CB24BC5}"/>
    <cellStyle name="Normal 21 3" xfId="1144" xr:uid="{E8081F7A-7CA1-4801-BBE7-1A42B40C6332}"/>
    <cellStyle name="Normal 210" xfId="1067" xr:uid="{EA819588-8189-4631-80E6-6C1C50E63281}"/>
    <cellStyle name="Normal 211" xfId="1071" xr:uid="{CDA05674-4208-4F9D-8328-3E2DB65096A8}"/>
    <cellStyle name="Normal 212" xfId="1068" xr:uid="{763EACD2-6538-4D07-8327-2D1FAE78F8DE}"/>
    <cellStyle name="Normal 213" xfId="1087" xr:uid="{641C95BD-DB5F-421F-B96B-CE82CA7515C8}"/>
    <cellStyle name="Normal 214" xfId="1077" xr:uid="{73E90288-420E-4408-9997-BF737B5BC125}"/>
    <cellStyle name="Normal 215" xfId="1070" xr:uid="{2D54525E-21B1-4A88-AFB2-422C38921BFA}"/>
    <cellStyle name="Normal 216" xfId="1069" xr:uid="{A5F51ED6-6282-45B5-8514-F7AFD838C8CD}"/>
    <cellStyle name="Normal 217" xfId="1086" xr:uid="{293F6F30-0D82-44DF-A8C0-8A983DBA51C8}"/>
    <cellStyle name="Normal 218" xfId="1088" xr:uid="{B73423F3-7EC0-41EB-A8F9-36EED358A373}"/>
    <cellStyle name="Normal 219" xfId="1089" xr:uid="{4DDB706A-F4A4-4E8B-A7DA-2A02BF3265CF}"/>
    <cellStyle name="Normal 22" xfId="98" xr:uid="{D3FB25A4-6B40-42F7-B76C-4A384EBED520}"/>
    <cellStyle name="Normal 22 2" xfId="486" xr:uid="{0E0F600B-A18B-4006-8084-4AA7BA0BBB73}"/>
    <cellStyle name="Normal 22 3" xfId="1143" xr:uid="{2A6B95E1-AE78-4756-B8CC-A8994A805091}"/>
    <cellStyle name="Normal 220" xfId="50" xr:uid="{6A32213C-4692-4A60-99D6-AB7284D84573}"/>
    <cellStyle name="Normal 221" xfId="1091" xr:uid="{A6A927C2-885A-4AFD-8BC7-3AC048A54409}"/>
    <cellStyle name="Normal 222" xfId="1487" xr:uid="{5349D123-3908-467D-9BBD-E4CADFC8BBFE}"/>
    <cellStyle name="Normal 223" xfId="1489" xr:uid="{FDB82218-1844-41DE-BCA9-043AD2338679}"/>
    <cellStyle name="Normal 224" xfId="1496" xr:uid="{6FE184B5-F4F7-46F8-8DE9-FCBDE8C615A2}"/>
    <cellStyle name="Normal 225" xfId="1495" xr:uid="{C9692C77-9B70-48CF-88C0-8C7DE933B1D7}"/>
    <cellStyle name="Normal 226" xfId="1507" xr:uid="{2DAE5136-7892-4A78-B855-46156E179272}"/>
    <cellStyle name="Normal 227" xfId="1513" xr:uid="{3A9B856D-33CA-4282-A7C1-8BBF82BB3A1A}"/>
    <cellStyle name="Normal 228" xfId="1519" xr:uid="{1A7B1C3F-5EC5-4D1E-B27E-4CAFC1E088EA}"/>
    <cellStyle name="Normal 229" xfId="1520" xr:uid="{B5AE4885-604A-4432-A77D-8238ED0D1D24}"/>
    <cellStyle name="Normal 23" xfId="137" xr:uid="{632D6CDF-3D2E-499F-B861-7600DAC60E32}"/>
    <cellStyle name="Normal 23 2" xfId="487" xr:uid="{E26BB43B-F053-45C5-9A14-D4CA3D2E8F3F}"/>
    <cellStyle name="Normal 23 3" xfId="1182" xr:uid="{D1BF3644-5486-4D59-972F-755045BF0A96}"/>
    <cellStyle name="Normal 230" xfId="1521" xr:uid="{10881598-C789-42C7-9B55-CADCBCEB544E}"/>
    <cellStyle name="Normal 231" xfId="1522" xr:uid="{901886A6-3867-4532-B1AF-71A6B2EB8464}"/>
    <cellStyle name="Normal 232" xfId="1580" xr:uid="{D991D070-C4A0-492C-B6CB-9EC72ED688BF}"/>
    <cellStyle name="Normal 233" xfId="1607" xr:uid="{CE6312B9-DBDF-4C1D-A2B4-774FFC1EA2D2}"/>
    <cellStyle name="Normal 234" xfId="1632" xr:uid="{C694098C-5313-46EA-9995-A0CC78575BCF}"/>
    <cellStyle name="Normal 235" xfId="1634" xr:uid="{FC124D10-ED11-482F-974A-6DAE0553C73C}"/>
    <cellStyle name="Normal 236" xfId="1635" xr:uid="{509CD0C1-B76C-425A-8116-7D9EAD835A4A}"/>
    <cellStyle name="Normal 237" xfId="1687" xr:uid="{DF567168-2D3B-457D-8789-FA3C632075D3}"/>
    <cellStyle name="Normal 238" xfId="1738" xr:uid="{A1AB3AB6-A5E9-4BCC-B541-460B246D1EF6}"/>
    <cellStyle name="Normal 239" xfId="1742" xr:uid="{E63DBB1B-F35F-40A9-97D6-8AFD3B43FBD2}"/>
    <cellStyle name="Normal 24" xfId="111" xr:uid="{BD80334B-59A0-41A5-9EF8-CDB9A5DD7016}"/>
    <cellStyle name="Normal 24 2" xfId="488" xr:uid="{ADC8DF68-6449-4C2D-A380-7B3282915085}"/>
    <cellStyle name="Normal 24 3" xfId="1156" xr:uid="{EEDE9E6A-A9DE-4538-9FB3-F92DF412DB77}"/>
    <cellStyle name="Normal 240" xfId="49" xr:uid="{59F35394-AA05-426C-9312-0B539C3E54F9}"/>
    <cellStyle name="Normal 241" xfId="1743" xr:uid="{7F21861D-DC58-47DF-8BCA-1073B8C11327}"/>
    <cellStyle name="Normal 242" xfId="1744" xr:uid="{D1A7A56E-9794-4881-9D10-1CCBC4EF7601}"/>
    <cellStyle name="Normal 243" xfId="1745" xr:uid="{0AB3C71D-9E41-4327-BF3A-DFB785C0B375}"/>
    <cellStyle name="Normal 244" xfId="1746" xr:uid="{FE8A0246-2C44-40F8-AB45-F35AFA363440}"/>
    <cellStyle name="Normal 245" xfId="1747" xr:uid="{26681F29-A272-450C-8CD0-1BAD3A5857B9}"/>
    <cellStyle name="Normal 246" xfId="1748" xr:uid="{931EC3ED-EC5A-43F8-B32D-7BDF15D9DF5A}"/>
    <cellStyle name="Normal 247" xfId="1749" xr:uid="{9188E12B-8542-4A72-AC0C-7BBEDEA313B6}"/>
    <cellStyle name="Normal 248" xfId="1750" xr:uid="{F3E5194F-1A9C-4CEB-9AC1-88A4C3F79FEB}"/>
    <cellStyle name="Normal 249" xfId="1751" xr:uid="{5CBB5A3B-400C-4236-9EB6-B0F87FF1AA7B}"/>
    <cellStyle name="Normal 25" xfId="176" xr:uid="{5AAC850C-1324-4E0D-819E-088B6C165918}"/>
    <cellStyle name="Normal 25 2" xfId="489" xr:uid="{26A24CBF-DC27-4883-B204-77AAECCD6237}"/>
    <cellStyle name="Normal 25 3" xfId="1221" xr:uid="{159FF689-2064-4BFE-B6B4-020B97249F73}"/>
    <cellStyle name="Normal 250" xfId="1752" xr:uid="{15C10203-A64E-42A7-AF32-14FED9B84971}"/>
    <cellStyle name="Normal 251" xfId="1958" xr:uid="{88A455F2-586C-43E3-9BEE-5BCB5E6BB7D6}"/>
    <cellStyle name="Normal 252" xfId="1959" xr:uid="{40DD0388-2C87-423B-A982-5CF8B2502802}"/>
    <cellStyle name="Normal 26" xfId="180" xr:uid="{EBDF59CA-115E-416B-80CC-B30E0ED18837}"/>
    <cellStyle name="Normal 26 2" xfId="490" xr:uid="{2732EF29-547A-4D49-BBCC-647E87C464E5}"/>
    <cellStyle name="Normal 26 3" xfId="1225" xr:uid="{D89C224B-B1D7-46A5-BE49-6636A1D5222E}"/>
    <cellStyle name="Normal 27" xfId="166" xr:uid="{EEEA6DCB-21FB-41BB-A7F7-63D5C4FC5455}"/>
    <cellStyle name="Normal 27 2" xfId="491" xr:uid="{D2AD20BE-D349-4DDC-BAF1-6417920DD7C9}"/>
    <cellStyle name="Normal 27 3" xfId="1211" xr:uid="{C613DAEC-6C2F-408E-A601-DF9578948EFE}"/>
    <cellStyle name="Normal 273" xfId="1492" xr:uid="{A3BD993D-5C61-41B8-B100-03DACFB82146}"/>
    <cellStyle name="Normal 276" xfId="1493" xr:uid="{5C03D035-3E9D-477B-B601-F669798D0E82}"/>
    <cellStyle name="Normal 28" xfId="177" xr:uid="{F13045B6-C94B-4541-A539-E52EAE954402}"/>
    <cellStyle name="Normal 28 2" xfId="492" xr:uid="{F0303342-EC40-4A23-A429-CCB859BEE9EB}"/>
    <cellStyle name="Normal 28 3" xfId="1222" xr:uid="{8B254A86-AA67-437D-9703-E18C4A939B3B}"/>
    <cellStyle name="Normal 29" xfId="138" xr:uid="{E86A9092-F7EF-43CF-950D-21B9292F90D8}"/>
    <cellStyle name="Normal 29 2" xfId="493" xr:uid="{0A187F52-6457-4709-8CCB-CD239BAD5DC7}"/>
    <cellStyle name="Normal 29 3" xfId="1183" xr:uid="{8FAB3B95-BD1D-4E59-B99A-F19B75B851FE}"/>
    <cellStyle name="Normal 3" xfId="60" xr:uid="{58127BAF-D876-40CE-91E5-EDF063B5A64F}"/>
    <cellStyle name="Normal 3 2" xfId="494" xr:uid="{F5473722-C21A-495D-A222-32C093494399}"/>
    <cellStyle name="Normal 3 2 2" xfId="1553" xr:uid="{194F95C5-7A95-452F-B041-986F588A0E23}"/>
    <cellStyle name="Normal 3 3" xfId="1105" xr:uid="{8D997700-7BAD-4DEB-BEB3-A1435F262E40}"/>
    <cellStyle name="Normal 3 4" xfId="1537" xr:uid="{785ECA4F-E191-4C13-84BC-307573E373ED}"/>
    <cellStyle name="Normal 30" xfId="260" xr:uid="{BB33BF47-5493-4E59-A41D-253FAB357A68}"/>
    <cellStyle name="Normal 30 2" xfId="495" xr:uid="{D0CA5356-DFC8-4A01-A78A-C462109DD3B8}"/>
    <cellStyle name="Normal 30 3" xfId="1305" xr:uid="{9B87C502-FC36-4B80-9DC4-DC29DEA75731}"/>
    <cellStyle name="Normal 31" xfId="267" xr:uid="{E764850C-0ACA-411F-B093-B4676F6FB947}"/>
    <cellStyle name="Normal 31 2" xfId="496" xr:uid="{08065A50-11BF-4850-8AE1-A0B451F8EE28}"/>
    <cellStyle name="Normal 31 3" xfId="1312" xr:uid="{7B55BA75-C3B9-42E3-90E2-2066556508A6}"/>
    <cellStyle name="Normal 32" xfId="266" xr:uid="{B9C5D360-7645-4420-B566-4028D4657C98}"/>
    <cellStyle name="Normal 32 2" xfId="497" xr:uid="{91C38458-E0C1-414A-BE82-2575AD25086D}"/>
    <cellStyle name="Normal 32 3" xfId="1311" xr:uid="{11EB3979-6922-41D3-8734-026A8D11C23D}"/>
    <cellStyle name="Normal 33" xfId="264" xr:uid="{557B5F2F-6AD4-46A9-A8E4-3B0E791C09D9}"/>
    <cellStyle name="Normal 33 2" xfId="498" xr:uid="{1F3B7547-5162-47DC-8F8B-B491732E792E}"/>
    <cellStyle name="Normal 33 3" xfId="1309" xr:uid="{4BABE68A-6CE2-46DE-BDFF-7BE69800F0B5}"/>
    <cellStyle name="Normal 34" xfId="262" xr:uid="{FE8BA878-70F2-46A5-A946-4AE86C7059CB}"/>
    <cellStyle name="Normal 34 2" xfId="499" xr:uid="{B42146DB-F2F1-483E-940A-F0B5211B50EA}"/>
    <cellStyle name="Normal 34 3" xfId="1307" xr:uid="{F72B0BBE-804F-41EE-8B80-7403682A8F1C}"/>
    <cellStyle name="Normal 35" xfId="261" xr:uid="{AC0A6EAF-AEE2-45D1-B800-3AAC71CFCCBE}"/>
    <cellStyle name="Normal 35 2" xfId="500" xr:uid="{0522EA0B-F490-4EC7-AC00-E246C5F2CF69}"/>
    <cellStyle name="Normal 35 3" xfId="1306" xr:uid="{72ACCFE2-67AD-4329-A7F8-181F5CAF52B0}"/>
    <cellStyle name="Normal 36" xfId="271" xr:uid="{8D1ED289-E457-482D-BD9A-C94523907154}"/>
    <cellStyle name="Normal 36 2" xfId="501" xr:uid="{0E8AB177-5AC7-4630-8737-011E93A4A1FC}"/>
    <cellStyle name="Normal 36 3" xfId="1316" xr:uid="{7CA7F33F-EA43-46DD-9931-1B2C6CEEF0E8}"/>
    <cellStyle name="Normal 37" xfId="358" xr:uid="{2F02660F-2102-4508-B551-D1BC78ABF7E2}"/>
    <cellStyle name="Normal 37 2" xfId="502" xr:uid="{FEB91F90-FC30-4721-B088-2AB38A925603}"/>
    <cellStyle name="Normal 37 3" xfId="1403" xr:uid="{2EBE8C19-B095-417D-9677-29E18F3274CE}"/>
    <cellStyle name="Normal 38" xfId="364" xr:uid="{4C362F1E-B8F2-4261-95EE-DAB144115C4C}"/>
    <cellStyle name="Normal 38 2" xfId="503" xr:uid="{E9F38018-BE51-4ED5-B0AD-48867AB3C3A8}"/>
    <cellStyle name="Normal 38 3" xfId="1409" xr:uid="{D0164921-6038-4114-A296-6E8886FE1465}"/>
    <cellStyle name="Normal 39" xfId="363" xr:uid="{0F9A1B1E-9C46-44BC-94AF-8BF5D79B9CF5}"/>
    <cellStyle name="Normal 39 2" xfId="504" xr:uid="{3BF6815A-CE9C-4FBA-81F0-D944156165CE}"/>
    <cellStyle name="Normal 39 3" xfId="1408" xr:uid="{A83776B9-1483-4414-9AE4-EA237D790C48}"/>
    <cellStyle name="Normal 4" xfId="33" xr:uid="{1F9A07BF-FCB3-47CA-B1C2-5A9256A4B490}"/>
    <cellStyle name="Normal 4 10" xfId="64" xr:uid="{BAF9644E-96C2-4A77-B44D-97AF5BA56698}"/>
    <cellStyle name="Normal 4 2" xfId="505" xr:uid="{5CFC8DD9-CA1A-46FA-AF5B-E80A0F2D68CB}"/>
    <cellStyle name="Normal 4 2 2" xfId="1503" xr:uid="{B8BECD07-AE41-494D-B58C-84875FCB3948}"/>
    <cellStyle name="Normal 4 3" xfId="1109" xr:uid="{6C6F5A60-4A98-4DB3-A433-FE0F6E9AD92A}"/>
    <cellStyle name="Normal 4 4" xfId="1510" xr:uid="{47781450-A5CD-4F4F-B081-A338AB95D632}"/>
    <cellStyle name="Normal 4 5" xfId="1515" xr:uid="{C3F3E8C7-ABA9-4378-A986-8498FF3BB369}"/>
    <cellStyle name="Normal 4 6" xfId="1524" xr:uid="{9C4B1763-FEA1-4038-9A03-DFC4D5B93CA5}"/>
    <cellStyle name="Normal 4 7" xfId="1582" xr:uid="{C7251590-A734-49FA-9F59-1618345DFDEE}"/>
    <cellStyle name="Normal 4 8" xfId="1637" xr:uid="{350742D1-3282-4A51-8B3E-52A7D9443630}"/>
    <cellStyle name="Normal 4 9" xfId="1689" xr:uid="{D9C4ABE3-A290-4F81-A0EF-717E2036C0E9}"/>
    <cellStyle name="Normal 40" xfId="361" xr:uid="{C27A5681-BE2F-429B-AD77-33DE3548FAC6}"/>
    <cellStyle name="Normal 40 2" xfId="506" xr:uid="{7429EE9B-8A94-47BE-B2FD-D88258A373A2}"/>
    <cellStyle name="Normal 40 3" xfId="1406" xr:uid="{F778D6C4-F0D7-4F44-9287-6026393DD17C}"/>
    <cellStyle name="Normal 41" xfId="359" xr:uid="{EF1A4392-437A-42C1-8C03-6659B4DF5667}"/>
    <cellStyle name="Normal 41 2" xfId="507" xr:uid="{318BE466-0669-43AB-A1AB-121933661267}"/>
    <cellStyle name="Normal 41 3" xfId="1404" xr:uid="{860A5439-2AE2-4CD4-B7FE-6596472B79A6}"/>
    <cellStyle name="Normal 42" xfId="428" xr:uid="{594BFE6C-EC99-4A15-86C5-D2BD9A6CF80D}"/>
    <cellStyle name="Normal 42 2" xfId="508" xr:uid="{B1AB8436-DFDE-45C3-AE81-817C91C66B29}"/>
    <cellStyle name="Normal 42 3" xfId="1473" xr:uid="{F44C4427-A51F-4D3B-9FCB-5D9C90795D14}"/>
    <cellStyle name="Normal 43" xfId="509" xr:uid="{45DE82BB-03DF-4986-B4FA-7811436BA5D7}"/>
    <cellStyle name="Normal 44" xfId="510" xr:uid="{9D51BB76-6238-4D63-9FAE-796A510AD5D5}"/>
    <cellStyle name="Normal 45" xfId="511" xr:uid="{3F82F69C-880D-4B9B-8049-E1E50A774B8C}"/>
    <cellStyle name="Normal 46" xfId="512" xr:uid="{557EE0A6-502A-41B9-9DF6-EFCC7259D363}"/>
    <cellStyle name="Normal 47" xfId="513" xr:uid="{3B94234F-1730-41D0-AFE5-CEFBF92122F0}"/>
    <cellStyle name="Normal 48" xfId="514" xr:uid="{E088C99D-467A-4EA9-A713-E2335DCAF95A}"/>
    <cellStyle name="Normal 49" xfId="515" xr:uid="{F9A47644-AD60-4C5A-B344-42CDBD7713B0}"/>
    <cellStyle name="Normal 5" xfId="34" xr:uid="{EE5D1653-6917-427E-A1D2-AFC3E51F7D9A}"/>
    <cellStyle name="Normal 5 2" xfId="516" xr:uid="{ED75424C-0801-4FC1-9BC9-12EB5317E856}"/>
    <cellStyle name="Normal 5 3" xfId="1116" xr:uid="{2DF274E7-AB8D-4E1D-8AEF-F8226EBB8FEB}"/>
    <cellStyle name="Normal 5 4" xfId="1538" xr:uid="{39317A49-5B75-4CE9-995B-D31270385C5D}"/>
    <cellStyle name="Normal 5 5" xfId="71" xr:uid="{570AC228-751B-4DAF-AA8D-33E61AE32BF2}"/>
    <cellStyle name="Normal 50" xfId="517" xr:uid="{AAE0C3AC-1FA4-416D-9C59-BF986D9BCF69}"/>
    <cellStyle name="Normal 51" xfId="518" xr:uid="{763D83CE-E973-4E48-A5B5-944C860A2E7C}"/>
    <cellStyle name="Normal 52" xfId="519" xr:uid="{59595842-7914-4ECD-B3B5-60F5B53166A4}"/>
    <cellStyle name="Normal 53" xfId="520" xr:uid="{350BF97A-43E1-42B2-88BA-8E0680D9532D}"/>
    <cellStyle name="Normal 54" xfId="535" xr:uid="{AAE33C04-4F61-4109-84F0-E3F5456A859E}"/>
    <cellStyle name="Normal 55" xfId="534" xr:uid="{51526BA4-9A27-49DD-9E14-690F8CE61552}"/>
    <cellStyle name="Normal 56" xfId="537" xr:uid="{44F31D1F-A979-4BE9-BDA4-C42D4ADB9D78}"/>
    <cellStyle name="Normal 57" xfId="536" xr:uid="{74B6D891-87BF-4CB6-BAB4-10FA67D707A4}"/>
    <cellStyle name="Normal 58" xfId="538" xr:uid="{943D8D79-05F0-438F-B05D-506F05A7F1C2}"/>
    <cellStyle name="Normal 59" xfId="540" xr:uid="{CEB69E4C-2BF1-4029-AD82-0598ABABC2A3}"/>
    <cellStyle name="Normal 6" xfId="77" xr:uid="{BE58BC24-B375-40B7-B297-68B15622BF5C}"/>
    <cellStyle name="Normal 6 2" xfId="521" xr:uid="{81FE739E-039A-4A5A-B99E-6FB234440B1D}"/>
    <cellStyle name="Normal 6 3" xfId="1122" xr:uid="{DFB81F5B-A723-483F-98B2-85C6590F3754}"/>
    <cellStyle name="Normal 6 4" xfId="1539" xr:uid="{4899AD8C-37EA-4CA9-8543-2F155004840A}"/>
    <cellStyle name="Normal 60" xfId="539" xr:uid="{31CDAA6D-3ADC-45EC-850F-284F38D77E0D}"/>
    <cellStyle name="Normal 61" xfId="541" xr:uid="{027605CA-2515-43CC-AEF3-48EB02B65BCE}"/>
    <cellStyle name="Normal 62" xfId="555" xr:uid="{5DAD5F07-FB5A-4B66-8ADE-3B6AFE7C9529}"/>
    <cellStyle name="Normal 63" xfId="556" xr:uid="{DA5E35EC-CB0D-4E5D-9242-3C1A23DAA130}"/>
    <cellStyle name="Normal 64" xfId="570" xr:uid="{17B40B95-9FD2-4B0C-BD55-A72A0060ABE6}"/>
    <cellStyle name="Normal 65" xfId="576" xr:uid="{2740C0B5-242D-40CA-8A36-D12A0617603E}"/>
    <cellStyle name="Normal 66" xfId="571" xr:uid="{51BFAC92-C748-40D3-948D-9B3F4036B505}"/>
    <cellStyle name="Normal 67" xfId="572" xr:uid="{743CFE30-B9AF-4F3D-88D0-F74AC6C98349}"/>
    <cellStyle name="Normal 68" xfId="583" xr:uid="{0DFED209-EB62-4C2F-A9CC-38CC81A8C503}"/>
    <cellStyle name="Normal 69" xfId="578" xr:uid="{26A2F9B1-4DBF-4820-A321-9916459B4B2B}"/>
    <cellStyle name="Normal 7" xfId="72" xr:uid="{12EE5C3C-ABEB-4FF6-9C18-B03AD62528C8}"/>
    <cellStyle name="Normal 7 2" xfId="522" xr:uid="{E0C85E41-B60A-4DAF-A42D-C78CE6E9152C}"/>
    <cellStyle name="Normal 7 2 2" xfId="1554" xr:uid="{3D9D4429-929C-4367-9601-F756BB078AD8}"/>
    <cellStyle name="Normal 7 3" xfId="1117" xr:uid="{9AB5558B-7354-44E6-B6B2-782EFA3BD1F8}"/>
    <cellStyle name="Normal 7 4" xfId="1540" xr:uid="{6A922AF8-2EDA-4ACB-851E-B29648206F05}"/>
    <cellStyle name="Normal 70" xfId="574" xr:uid="{545F8AB1-824E-4EC5-B675-826E69DED570}"/>
    <cellStyle name="Normal 71" xfId="573" xr:uid="{7ACB53E7-9D40-49ED-BA23-03E13D93B80F}"/>
    <cellStyle name="Normal 72" xfId="575" xr:uid="{C0315C20-9F08-4363-84B5-358F1A13FB5D}"/>
    <cellStyle name="Normal 73" xfId="592" xr:uid="{E04C7325-224B-40B7-AD77-9362BAC1705E}"/>
    <cellStyle name="Normal 74" xfId="593" xr:uid="{C44DE0FA-7B93-4B6E-A4AD-D3B3BD1580ED}"/>
    <cellStyle name="Normal 75" xfId="594" xr:uid="{5461233E-E296-4BCC-A35D-DD8775B28093}"/>
    <cellStyle name="Normal 76" xfId="608" xr:uid="{C21210FA-46D6-4202-97D6-7838B53A81F2}"/>
    <cellStyle name="Normal 77" xfId="611" xr:uid="{103187AB-8A9D-4C1A-A819-005FFC36F9FE}"/>
    <cellStyle name="Normal 78" xfId="609" xr:uid="{5570773A-3632-4F60-A9A2-5A8B65FC2BDE}"/>
    <cellStyle name="Normal 79" xfId="610" xr:uid="{B0EFCA54-A13C-4292-950A-C4370EA5BEFE}"/>
    <cellStyle name="Normal 8" xfId="68" xr:uid="{C01B492C-7407-46CD-8DE8-4D6E9F69A9DF}"/>
    <cellStyle name="Normal 8 2" xfId="523" xr:uid="{04C97CC9-6708-4DFE-8A2A-8CD0926FA797}"/>
    <cellStyle name="Normal 8 3" xfId="1113" xr:uid="{7CBDBF97-CD52-4C9F-AFE4-0F28FA0EAB19}"/>
    <cellStyle name="Normal 8 4" xfId="1499" xr:uid="{D2791860-448E-4C0C-917F-5991DA3C8E6D}"/>
    <cellStyle name="Normal 80" xfId="625" xr:uid="{FE884517-F49B-42AA-93FB-6F0D8340F30A}"/>
    <cellStyle name="Normal 81" xfId="626" xr:uid="{4B8AF185-9EE4-4A67-BEDB-5AA56D2F3480}"/>
    <cellStyle name="Normal 82" xfId="627" xr:uid="{639E5799-BEBF-4761-8F32-ED56F556C8B8}"/>
    <cellStyle name="Normal 83" xfId="628" xr:uid="{45FFFC3B-E084-4DE8-A27F-A0A7C54CE1E6}"/>
    <cellStyle name="Normal 84" xfId="629" xr:uid="{89A9626C-9741-4C32-A2FB-A9771C3DC402}"/>
    <cellStyle name="Normal 85" xfId="643" xr:uid="{48C40C63-6277-4D0E-AB7B-CFA01336AF64}"/>
    <cellStyle name="Normal 86" xfId="649" xr:uid="{D5ED81DD-DC7C-4CF2-B576-A302DF720A99}"/>
    <cellStyle name="Normal 87" xfId="651" xr:uid="{648A4179-A955-4257-9F40-66B600414234}"/>
    <cellStyle name="Normal 88" xfId="647" xr:uid="{43D0CDA6-7978-4160-AF81-F9CF011A8AE5}"/>
    <cellStyle name="Normal 89" xfId="645" xr:uid="{1D3575F0-20FA-4003-8D65-9B427544157E}"/>
    <cellStyle name="Normal 9" xfId="81" xr:uid="{D12E0BA6-6A0D-46FE-9D68-EB68DD3360EF}"/>
    <cellStyle name="Normal 9 2" xfId="524" xr:uid="{14DA94EE-3F2C-4E75-ABA1-22B3CB78C33A}"/>
    <cellStyle name="Normal 9 3" xfId="1126" xr:uid="{5999E6F9-8992-42F8-983B-CA844AC01116}"/>
    <cellStyle name="Normal 90" xfId="652" xr:uid="{10B09F26-7095-4B75-8170-ADE80A534831}"/>
    <cellStyle name="Normal 91" xfId="650" xr:uid="{5D1E9832-8728-4447-A015-F8E9D3C789BF}"/>
    <cellStyle name="Normal 92" xfId="648" xr:uid="{5EF4494A-A0E7-4E91-B189-1EB657F6FDA9}"/>
    <cellStyle name="Normal 93" xfId="646" xr:uid="{79A8AC71-4F96-44B9-9CD2-4EFCCA0F7BF2}"/>
    <cellStyle name="Normal 94" xfId="644" xr:uid="{1B64A3A6-F9BF-408F-BA8F-7740BBB04BBA}"/>
    <cellStyle name="Normal 95" xfId="653" xr:uid="{047BA672-25CB-4496-8921-A2AD35044AC4}"/>
    <cellStyle name="Normal 96" xfId="667" xr:uid="{2FE8F265-C2CE-482F-9DE1-7C2B9F318585}"/>
    <cellStyle name="Normal 97" xfId="671" xr:uid="{DEE980C9-FD0D-4A63-8ADE-213B125F05FE}"/>
    <cellStyle name="Normal 98" xfId="682" xr:uid="{F7250EF1-C3B1-4A55-914A-CE75A53F270E}"/>
    <cellStyle name="Normal 99" xfId="669" xr:uid="{67EC265C-1097-4FA7-924B-39265DB994BF}"/>
    <cellStyle name="Percent [2]" xfId="58" xr:uid="{6BF1B37B-6D59-4236-A8EE-A17665103D86}"/>
    <cellStyle name="Pourcentage 2" xfId="46" xr:uid="{E5FACAB5-B319-4FDC-85A7-F7081014505D}"/>
    <cellStyle name="Pourcentage 3" xfId="1633" xr:uid="{540EE09D-2D99-48E4-B1E9-28CCAA0ED11D}"/>
    <cellStyle name="Pourcentage 4" xfId="1739" xr:uid="{FB5F756F-4121-4EF8-AB06-77FB50C8603D}"/>
    <cellStyle name="Pourcentage 8 2" xfId="36" xr:uid="{B415D691-ED91-4A37-9D6B-E6F117E825A8}"/>
    <cellStyle name="Satisfaisant" xfId="5" builtinId="26" customBuiltin="1"/>
    <cellStyle name="Satisfaisant 2" xfId="525" xr:uid="{B164A2FE-942A-4B61-A9D4-831FD0F4FF95}"/>
    <cellStyle name="Sortie" xfId="8" builtinId="21" customBuiltin="1"/>
    <cellStyle name="Sortie 2" xfId="526" xr:uid="{6CCA3E10-CFEC-407B-8B09-E7FC935DF542}"/>
    <cellStyle name="Texte explicatif" xfId="13" builtinId="53" customBuiltin="1"/>
    <cellStyle name="Texte explicatif 2" xfId="527" xr:uid="{8FC0ECB3-3EDF-4E8B-BFCA-9456B1B81B61}"/>
    <cellStyle name="Titre 2" xfId="1494" xr:uid="{E6D53769-6F70-4E61-801E-6F67BABC0E26}"/>
    <cellStyle name="Titre 3" xfId="48" xr:uid="{648BD255-1C46-4276-89B3-668C327E536C}"/>
    <cellStyle name="Titre 1" xfId="1" builtinId="16" customBuiltin="1"/>
    <cellStyle name="Titre 1 2" xfId="528" xr:uid="{0F0172B2-C161-4BE6-B05D-7CAC7271189B}"/>
    <cellStyle name="Titre 2" xfId="2" builtinId="17" customBuiltin="1"/>
    <cellStyle name="Titre 2 2" xfId="529" xr:uid="{664E4870-3FBD-48DF-BC56-96C2EE215916}"/>
    <cellStyle name="Titre 3" xfId="3" builtinId="18" customBuiltin="1"/>
    <cellStyle name="Titre 3 2" xfId="530" xr:uid="{BB3875D1-8C8D-4F66-8471-71365B272563}"/>
    <cellStyle name="Titre 4" xfId="4" builtinId="19" customBuiltin="1"/>
    <cellStyle name="Titre 4 2" xfId="531" xr:uid="{85804B86-5352-481A-9E62-E0BD76E77F7A}"/>
    <cellStyle name="Total" xfId="14" builtinId="25" customBuiltin="1"/>
    <cellStyle name="Total 2" xfId="532" xr:uid="{2B9D2C1F-8864-46F1-A39C-680947F364B5}"/>
    <cellStyle name="Vérification" xfId="11" builtinId="23" customBuiltin="1"/>
    <cellStyle name="Vérification 2" xfId="533" xr:uid="{046E06AF-BA46-4CEC-9DDC-2EB4B24E40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D743F-F114-4FDC-B564-60DA4691892B}">
  <dimension ref="A1:N39"/>
  <sheetViews>
    <sheetView tabSelected="1" topLeftCell="A10" workbookViewId="0">
      <selection activeCell="L22" sqref="L22:N26"/>
    </sheetView>
  </sheetViews>
  <sheetFormatPr baseColWidth="10" defaultRowHeight="14.4" x14ac:dyDescent="0.3"/>
  <cols>
    <col min="1" max="1" width="21.5546875" customWidth="1"/>
  </cols>
  <sheetData>
    <row r="1" spans="1:9" ht="18" x14ac:dyDescent="0.35">
      <c r="A1" s="1" t="s">
        <v>32</v>
      </c>
      <c r="B1" s="1" t="s">
        <v>1</v>
      </c>
      <c r="C1" s="2" t="s">
        <v>2</v>
      </c>
      <c r="D1" s="2" t="s">
        <v>3</v>
      </c>
      <c r="E1" s="3" t="s">
        <v>4</v>
      </c>
      <c r="F1" s="5" t="s">
        <v>0</v>
      </c>
      <c r="G1" s="5" t="s">
        <v>39</v>
      </c>
      <c r="H1" s="5" t="s">
        <v>42</v>
      </c>
      <c r="I1" s="5" t="s">
        <v>45</v>
      </c>
    </row>
    <row r="2" spans="1:9" x14ac:dyDescent="0.3">
      <c r="A2" s="8" t="s">
        <v>22</v>
      </c>
      <c r="B2" s="9">
        <v>0.5</v>
      </c>
      <c r="C2" s="9">
        <v>6.91</v>
      </c>
      <c r="D2" s="9">
        <v>13.46</v>
      </c>
      <c r="E2" s="10">
        <v>1.8</v>
      </c>
      <c r="F2" s="7">
        <v>43557</v>
      </c>
      <c r="G2" s="6" t="s">
        <v>40</v>
      </c>
      <c r="H2" s="6" t="s">
        <v>43</v>
      </c>
      <c r="I2" t="s">
        <v>47</v>
      </c>
    </row>
    <row r="3" spans="1:9" x14ac:dyDescent="0.3">
      <c r="A3" s="21" t="s">
        <v>21</v>
      </c>
      <c r="B3" s="22">
        <v>0.24</v>
      </c>
      <c r="C3" s="22">
        <v>3.91</v>
      </c>
      <c r="D3" s="22">
        <v>24.44</v>
      </c>
      <c r="E3" s="23">
        <v>1.08</v>
      </c>
      <c r="F3" s="24">
        <v>43557</v>
      </c>
      <c r="G3" s="25" t="s">
        <v>40</v>
      </c>
      <c r="H3" s="25" t="s">
        <v>44</v>
      </c>
      <c r="I3" t="s">
        <v>48</v>
      </c>
    </row>
    <row r="4" spans="1:9" ht="15" thickBot="1" x14ac:dyDescent="0.35">
      <c r="A4" s="8" t="s">
        <v>20</v>
      </c>
      <c r="B4" s="12">
        <v>0.12</v>
      </c>
      <c r="C4" s="12">
        <v>2.5099999999999998</v>
      </c>
      <c r="D4" s="39">
        <v>32.44</v>
      </c>
      <c r="E4" s="12">
        <v>0.88</v>
      </c>
      <c r="F4" s="7">
        <v>43557</v>
      </c>
      <c r="G4" s="6" t="s">
        <v>40</v>
      </c>
      <c r="H4" s="6" t="s">
        <v>43</v>
      </c>
      <c r="I4" t="s">
        <v>49</v>
      </c>
    </row>
    <row r="5" spans="1:9" ht="15" thickTop="1" x14ac:dyDescent="0.3">
      <c r="A5" s="8" t="s">
        <v>19</v>
      </c>
      <c r="B5" s="9">
        <v>1.44</v>
      </c>
      <c r="C5" s="9">
        <v>14.64</v>
      </c>
      <c r="D5" s="9">
        <v>25.29</v>
      </c>
      <c r="E5" s="10">
        <v>4.7300000000000004</v>
      </c>
      <c r="F5" s="7">
        <v>43559</v>
      </c>
      <c r="G5" s="6" t="s">
        <v>40</v>
      </c>
      <c r="H5" s="6" t="s">
        <v>43</v>
      </c>
      <c r="I5" t="s">
        <v>47</v>
      </c>
    </row>
    <row r="6" spans="1:9" x14ac:dyDescent="0.3">
      <c r="A6" s="8" t="s">
        <v>18</v>
      </c>
      <c r="B6" s="9">
        <v>0.67</v>
      </c>
      <c r="C6" s="9">
        <v>6.04</v>
      </c>
      <c r="D6" s="9">
        <v>46.43</v>
      </c>
      <c r="E6" s="10">
        <v>2.2799999999999998</v>
      </c>
      <c r="F6" s="7">
        <v>43559</v>
      </c>
      <c r="G6" s="6" t="s">
        <v>40</v>
      </c>
      <c r="H6" s="6" t="s">
        <v>43</v>
      </c>
      <c r="I6" t="s">
        <v>48</v>
      </c>
    </row>
    <row r="7" spans="1:9" ht="15" thickBot="1" x14ac:dyDescent="0.35">
      <c r="A7" s="35" t="s">
        <v>17</v>
      </c>
      <c r="B7" s="13">
        <v>0.46</v>
      </c>
      <c r="C7" s="12">
        <v>5.16</v>
      </c>
      <c r="D7" s="39">
        <v>54.46</v>
      </c>
      <c r="E7" s="12">
        <v>2.48</v>
      </c>
      <c r="F7" s="7">
        <v>43559</v>
      </c>
      <c r="G7" s="6" t="s">
        <v>40</v>
      </c>
      <c r="H7" s="6" t="s">
        <v>43</v>
      </c>
      <c r="I7" t="s">
        <v>49</v>
      </c>
    </row>
    <row r="8" spans="1:9" ht="15" thickTop="1" x14ac:dyDescent="0.3">
      <c r="A8" s="8" t="s">
        <v>16</v>
      </c>
      <c r="B8" s="9">
        <v>1.05</v>
      </c>
      <c r="C8" s="9">
        <v>16.760000000000002</v>
      </c>
      <c r="D8" s="9">
        <v>12.24</v>
      </c>
      <c r="E8" s="10">
        <v>3.69</v>
      </c>
      <c r="F8" s="7">
        <v>43564</v>
      </c>
      <c r="G8" s="6" t="s">
        <v>40</v>
      </c>
      <c r="H8" s="6" t="s">
        <v>43</v>
      </c>
      <c r="I8" t="s">
        <v>47</v>
      </c>
    </row>
    <row r="9" spans="1:9" x14ac:dyDescent="0.3">
      <c r="A9" s="8" t="s">
        <v>15</v>
      </c>
      <c r="B9" s="9">
        <v>0.66</v>
      </c>
      <c r="C9" s="9">
        <v>8.57</v>
      </c>
      <c r="D9" s="9">
        <v>33.590000000000003</v>
      </c>
      <c r="E9" s="10">
        <v>2.68</v>
      </c>
      <c r="F9" s="7">
        <v>43564</v>
      </c>
      <c r="G9" s="6" t="s">
        <v>40</v>
      </c>
      <c r="H9" s="6" t="s">
        <v>43</v>
      </c>
      <c r="I9" t="s">
        <v>48</v>
      </c>
    </row>
    <row r="10" spans="1:9" ht="15" thickBot="1" x14ac:dyDescent="0.35">
      <c r="A10" s="35" t="s">
        <v>14</v>
      </c>
      <c r="B10" s="13">
        <v>0.45</v>
      </c>
      <c r="C10" s="12">
        <v>6.31</v>
      </c>
      <c r="D10" s="41">
        <v>46.51</v>
      </c>
      <c r="E10" s="12">
        <v>2.2999999999999998</v>
      </c>
      <c r="F10" s="7">
        <v>43564</v>
      </c>
      <c r="G10" s="6" t="s">
        <v>40</v>
      </c>
      <c r="H10" s="6" t="s">
        <v>43</v>
      </c>
      <c r="I10" t="s">
        <v>49</v>
      </c>
    </row>
    <row r="11" spans="1:9" ht="15" thickTop="1" x14ac:dyDescent="0.3">
      <c r="A11" s="8" t="s">
        <v>13</v>
      </c>
      <c r="B11" s="9">
        <v>1.77</v>
      </c>
      <c r="C11" s="9">
        <v>18.18</v>
      </c>
      <c r="D11" s="9">
        <v>15.96</v>
      </c>
      <c r="E11" s="10">
        <v>5.83</v>
      </c>
      <c r="F11" s="7">
        <v>43567</v>
      </c>
      <c r="G11" s="6" t="s">
        <v>40</v>
      </c>
      <c r="H11" s="6" t="s">
        <v>43</v>
      </c>
      <c r="I11" t="s">
        <v>47</v>
      </c>
    </row>
    <row r="12" spans="1:9" x14ac:dyDescent="0.3">
      <c r="A12" s="8" t="s">
        <v>12</v>
      </c>
      <c r="B12" s="9">
        <v>1.95</v>
      </c>
      <c r="C12" s="9">
        <v>12.02</v>
      </c>
      <c r="D12" s="9">
        <v>40.61</v>
      </c>
      <c r="E12" s="10">
        <v>5.0599999999999996</v>
      </c>
      <c r="F12" s="7">
        <v>43567</v>
      </c>
      <c r="G12" s="6" t="s">
        <v>40</v>
      </c>
      <c r="H12" s="6" t="s">
        <v>43</v>
      </c>
      <c r="I12" t="s">
        <v>48</v>
      </c>
    </row>
    <row r="13" spans="1:9" ht="15" thickBot="1" x14ac:dyDescent="0.35">
      <c r="A13" s="26" t="s">
        <v>11</v>
      </c>
      <c r="B13" s="27">
        <v>1.62</v>
      </c>
      <c r="C13" s="42">
        <v>10.95</v>
      </c>
      <c r="D13" s="42">
        <v>49.52</v>
      </c>
      <c r="E13" s="28">
        <v>5.18</v>
      </c>
      <c r="F13" s="24">
        <v>43567</v>
      </c>
      <c r="G13" s="25" t="s">
        <v>40</v>
      </c>
      <c r="H13" s="25" t="s">
        <v>44</v>
      </c>
      <c r="I13" t="s">
        <v>49</v>
      </c>
    </row>
    <row r="14" spans="1:9" ht="15" thickTop="1" x14ac:dyDescent="0.3">
      <c r="A14" s="21" t="s">
        <v>10</v>
      </c>
      <c r="B14" s="22">
        <v>2.96</v>
      </c>
      <c r="C14" s="22">
        <v>16.89</v>
      </c>
      <c r="D14" s="22">
        <v>23.44</v>
      </c>
      <c r="E14" s="23">
        <v>6.4</v>
      </c>
      <c r="F14" s="24">
        <v>43571</v>
      </c>
      <c r="G14" s="25" t="s">
        <v>40</v>
      </c>
      <c r="H14" s="25" t="s">
        <v>44</v>
      </c>
      <c r="I14" t="s">
        <v>47</v>
      </c>
    </row>
    <row r="15" spans="1:9" x14ac:dyDescent="0.3">
      <c r="A15" s="8" t="s">
        <v>9</v>
      </c>
      <c r="B15" s="9">
        <v>3.09</v>
      </c>
      <c r="C15" s="9">
        <v>10.49</v>
      </c>
      <c r="D15" s="9">
        <v>46.45</v>
      </c>
      <c r="E15" s="10">
        <v>5.01</v>
      </c>
      <c r="F15" s="7">
        <v>43571</v>
      </c>
      <c r="G15" s="6" t="s">
        <v>40</v>
      </c>
      <c r="H15" s="6" t="s">
        <v>43</v>
      </c>
      <c r="I15" t="s">
        <v>48</v>
      </c>
    </row>
    <row r="16" spans="1:9" ht="15" thickBot="1" x14ac:dyDescent="0.35">
      <c r="A16" s="35" t="s">
        <v>8</v>
      </c>
      <c r="B16" s="12">
        <v>2.6</v>
      </c>
      <c r="C16" s="12">
        <v>7.45</v>
      </c>
      <c r="D16" s="41">
        <v>63.11</v>
      </c>
      <c r="E16" s="14">
        <v>4.45</v>
      </c>
      <c r="F16" s="7">
        <v>43571</v>
      </c>
      <c r="G16" s="6" t="s">
        <v>40</v>
      </c>
      <c r="H16" s="6" t="s">
        <v>43</v>
      </c>
      <c r="I16" t="s">
        <v>49</v>
      </c>
    </row>
    <row r="17" spans="1:14" ht="15" thickTop="1" x14ac:dyDescent="0.3">
      <c r="A17" s="8" t="s">
        <v>7</v>
      </c>
      <c r="B17" s="9">
        <v>2.97</v>
      </c>
      <c r="C17" s="9">
        <v>17.34</v>
      </c>
      <c r="D17" s="9">
        <v>21.88</v>
      </c>
      <c r="E17" s="10">
        <v>5.08</v>
      </c>
      <c r="F17" s="7">
        <v>43572</v>
      </c>
      <c r="G17" s="6" t="s">
        <v>40</v>
      </c>
      <c r="H17" s="6" t="s">
        <v>43</v>
      </c>
      <c r="I17" t="s">
        <v>47</v>
      </c>
    </row>
    <row r="18" spans="1:14" x14ac:dyDescent="0.3">
      <c r="A18" s="18" t="s">
        <v>6</v>
      </c>
      <c r="B18" s="19">
        <v>2.54</v>
      </c>
      <c r="C18" s="19">
        <v>10.58</v>
      </c>
      <c r="D18" s="19">
        <v>45.99</v>
      </c>
      <c r="E18" s="20">
        <v>3.62</v>
      </c>
      <c r="F18" s="16">
        <v>43572</v>
      </c>
      <c r="G18" s="15" t="s">
        <v>40</v>
      </c>
      <c r="H18" s="15" t="s">
        <v>46</v>
      </c>
      <c r="I18" t="s">
        <v>48</v>
      </c>
    </row>
    <row r="19" spans="1:14" ht="15" thickBot="1" x14ac:dyDescent="0.35">
      <c r="A19" s="35" t="s">
        <v>5</v>
      </c>
      <c r="B19" s="13">
        <v>0.93</v>
      </c>
      <c r="C19" s="12">
        <v>6.9</v>
      </c>
      <c r="D19" s="39">
        <v>61.63</v>
      </c>
      <c r="E19" s="14">
        <v>2.63</v>
      </c>
      <c r="F19" s="7">
        <v>43572</v>
      </c>
      <c r="G19" s="6" t="s">
        <v>40</v>
      </c>
      <c r="H19" s="6" t="s">
        <v>43</v>
      </c>
      <c r="I19" t="s">
        <v>49</v>
      </c>
    </row>
    <row r="20" spans="1:14" ht="15" thickTop="1" x14ac:dyDescent="0.3">
      <c r="A20" s="8" t="s">
        <v>23</v>
      </c>
      <c r="B20" s="9">
        <v>2.65</v>
      </c>
      <c r="C20" s="9">
        <v>17.829999999999998</v>
      </c>
      <c r="D20" s="9">
        <v>24.94</v>
      </c>
      <c r="E20" s="10">
        <v>5.68</v>
      </c>
      <c r="F20" s="7">
        <v>43574</v>
      </c>
      <c r="G20" s="6" t="s">
        <v>40</v>
      </c>
      <c r="H20" s="6" t="s">
        <v>43</v>
      </c>
      <c r="I20" t="s">
        <v>47</v>
      </c>
    </row>
    <row r="21" spans="1:14" x14ac:dyDescent="0.3">
      <c r="A21" s="8" t="s">
        <v>24</v>
      </c>
      <c r="B21" s="9">
        <v>1.96</v>
      </c>
      <c r="C21" s="9">
        <v>12.13</v>
      </c>
      <c r="D21" s="9">
        <v>47.89</v>
      </c>
      <c r="E21" s="10">
        <v>4.8499999999999996</v>
      </c>
      <c r="F21" s="7">
        <v>43574</v>
      </c>
      <c r="G21" s="6" t="s">
        <v>40</v>
      </c>
      <c r="H21" s="6" t="s">
        <v>43</v>
      </c>
      <c r="I21" t="s">
        <v>48</v>
      </c>
    </row>
    <row r="22" spans="1:14" ht="15" thickBot="1" x14ac:dyDescent="0.35">
      <c r="A22" s="11" t="s">
        <v>25</v>
      </c>
      <c r="B22" s="36">
        <v>1.37</v>
      </c>
      <c r="C22" s="12">
        <v>8.93</v>
      </c>
      <c r="D22" s="41">
        <v>62.26</v>
      </c>
      <c r="E22" s="12">
        <v>3.94</v>
      </c>
      <c r="F22" s="7">
        <v>43574</v>
      </c>
      <c r="G22" s="6" t="s">
        <v>40</v>
      </c>
      <c r="H22" s="6" t="s">
        <v>43</v>
      </c>
      <c r="I22" t="s">
        <v>49</v>
      </c>
      <c r="L22">
        <v>52.4</v>
      </c>
      <c r="M22">
        <v>46.61</v>
      </c>
      <c r="N22">
        <v>49.4</v>
      </c>
    </row>
    <row r="23" spans="1:14" ht="15" thickTop="1" x14ac:dyDescent="0.3">
      <c r="A23" s="18" t="s">
        <v>26</v>
      </c>
      <c r="B23" s="19">
        <v>3.01</v>
      </c>
      <c r="C23" s="19">
        <v>23.02</v>
      </c>
      <c r="D23" s="19">
        <v>22.05</v>
      </c>
      <c r="E23" s="20">
        <v>5.82</v>
      </c>
      <c r="F23" s="16">
        <v>43578</v>
      </c>
      <c r="G23" s="15" t="s">
        <v>40</v>
      </c>
      <c r="H23" s="15" t="s">
        <v>46</v>
      </c>
      <c r="I23" s="15" t="s">
        <v>47</v>
      </c>
      <c r="L23">
        <v>56.9</v>
      </c>
      <c r="M23">
        <v>50.26</v>
      </c>
      <c r="N23">
        <v>49.05</v>
      </c>
    </row>
    <row r="24" spans="1:14" x14ac:dyDescent="0.3">
      <c r="A24" s="21" t="s">
        <v>27</v>
      </c>
      <c r="B24" s="22">
        <v>2.72</v>
      </c>
      <c r="C24" s="22">
        <v>19.22</v>
      </c>
      <c r="D24" s="22">
        <v>33.200000000000003</v>
      </c>
      <c r="E24" s="23">
        <v>6.15</v>
      </c>
      <c r="F24" s="24">
        <v>43578</v>
      </c>
      <c r="G24" s="25" t="s">
        <v>40</v>
      </c>
      <c r="H24" s="25" t="s">
        <v>44</v>
      </c>
      <c r="I24" t="s">
        <v>48</v>
      </c>
      <c r="L24">
        <v>57.87</v>
      </c>
      <c r="M24">
        <v>43.68</v>
      </c>
      <c r="N24">
        <v>45.24</v>
      </c>
    </row>
    <row r="25" spans="1:14" ht="15" thickBot="1" x14ac:dyDescent="0.35">
      <c r="A25" s="11" t="s">
        <v>28</v>
      </c>
      <c r="B25" s="13">
        <v>1.07</v>
      </c>
      <c r="C25" s="12">
        <v>13.28</v>
      </c>
      <c r="D25" s="41">
        <v>52.57</v>
      </c>
      <c r="E25" s="12">
        <v>4.8499999999999996</v>
      </c>
      <c r="F25" s="7">
        <v>43578</v>
      </c>
      <c r="G25" s="6" t="s">
        <v>40</v>
      </c>
      <c r="H25" s="6" t="s">
        <v>43</v>
      </c>
      <c r="I25" t="s">
        <v>49</v>
      </c>
      <c r="L25">
        <f>AVERAGE(L22:L24)</f>
        <v>55.723333333333329</v>
      </c>
      <c r="M25">
        <f>AVERAGE(M22:M24)</f>
        <v>46.85</v>
      </c>
      <c r="N25">
        <f>AVERAGE(N22:N24)</f>
        <v>47.896666666666668</v>
      </c>
    </row>
    <row r="26" spans="1:14" ht="15" thickTop="1" x14ac:dyDescent="0.3">
      <c r="A26" s="8" t="s">
        <v>29</v>
      </c>
      <c r="B26" s="9">
        <v>1.53</v>
      </c>
      <c r="C26" s="9">
        <v>17.46</v>
      </c>
      <c r="D26" s="9">
        <v>24.15</v>
      </c>
      <c r="E26" s="10">
        <v>6.36</v>
      </c>
      <c r="F26" s="7">
        <v>43585</v>
      </c>
      <c r="G26" s="6" t="s">
        <v>40</v>
      </c>
      <c r="H26" s="6" t="s">
        <v>43</v>
      </c>
      <c r="I26" t="s">
        <v>47</v>
      </c>
      <c r="L26">
        <f t="shared" ref="L26:M26" si="0">_xlfn.STDEV.S(L22:L24)</f>
        <v>2.9186697883339474</v>
      </c>
      <c r="M26">
        <f t="shared" si="0"/>
        <v>3.2965588118521398</v>
      </c>
      <c r="N26">
        <f>_xlfn.STDEV.S(N22:N24)</f>
        <v>2.307386689164459</v>
      </c>
    </row>
    <row r="27" spans="1:14" x14ac:dyDescent="0.3">
      <c r="A27" s="8" t="s">
        <v>30</v>
      </c>
      <c r="B27" s="9">
        <v>0.91</v>
      </c>
      <c r="C27" s="9">
        <v>11.15</v>
      </c>
      <c r="D27" s="9">
        <v>45.26</v>
      </c>
      <c r="E27" s="10">
        <v>4.88</v>
      </c>
      <c r="F27" s="7">
        <v>43585</v>
      </c>
      <c r="G27" s="6" t="s">
        <v>40</v>
      </c>
      <c r="H27" s="6" t="s">
        <v>43</v>
      </c>
      <c r="I27" t="s">
        <v>48</v>
      </c>
    </row>
    <row r="28" spans="1:14" ht="15" thickBot="1" x14ac:dyDescent="0.35">
      <c r="A28" s="11" t="s">
        <v>31</v>
      </c>
      <c r="B28" s="12">
        <v>0.7</v>
      </c>
      <c r="C28" s="12">
        <v>9.64</v>
      </c>
      <c r="D28" s="41">
        <v>54.78</v>
      </c>
      <c r="E28" s="14">
        <v>6.86</v>
      </c>
      <c r="F28" s="7">
        <v>43585</v>
      </c>
      <c r="G28" s="6" t="s">
        <v>40</v>
      </c>
      <c r="H28" s="6" t="s">
        <v>43</v>
      </c>
      <c r="I28" t="s">
        <v>49</v>
      </c>
    </row>
    <row r="29" spans="1:14" ht="15" thickTop="1" x14ac:dyDescent="0.3">
      <c r="A29" s="21" t="s">
        <v>33</v>
      </c>
      <c r="B29" s="22">
        <v>5.0999999999999996</v>
      </c>
      <c r="C29" s="22">
        <v>18.100000000000001</v>
      </c>
      <c r="D29" s="22">
        <v>28.18</v>
      </c>
      <c r="E29" s="23">
        <v>6.54</v>
      </c>
      <c r="F29" s="24">
        <v>43594</v>
      </c>
      <c r="G29" s="25" t="s">
        <v>40</v>
      </c>
      <c r="H29" s="25" t="s">
        <v>44</v>
      </c>
      <c r="I29" t="s">
        <v>47</v>
      </c>
    </row>
    <row r="30" spans="1:14" x14ac:dyDescent="0.3">
      <c r="A30" s="8" t="s">
        <v>34</v>
      </c>
      <c r="B30" s="9">
        <v>2.63</v>
      </c>
      <c r="C30" s="9">
        <v>11.08</v>
      </c>
      <c r="D30" s="9">
        <v>43.36</v>
      </c>
      <c r="E30" s="10">
        <v>4.0599999999999996</v>
      </c>
      <c r="F30" s="7">
        <v>43594</v>
      </c>
      <c r="G30" s="6" t="s">
        <v>40</v>
      </c>
      <c r="H30" s="6" t="s">
        <v>43</v>
      </c>
      <c r="I30" t="s">
        <v>48</v>
      </c>
    </row>
    <row r="31" spans="1:14" ht="15" thickBot="1" x14ac:dyDescent="0.35">
      <c r="A31" s="11" t="s">
        <v>35</v>
      </c>
      <c r="B31" s="9">
        <v>1.29</v>
      </c>
      <c r="C31" s="12">
        <v>6.96</v>
      </c>
      <c r="D31" s="43">
        <v>57.28</v>
      </c>
      <c r="E31" s="10">
        <v>2.2200000000000002</v>
      </c>
      <c r="F31" s="7">
        <v>43594</v>
      </c>
      <c r="G31" s="6" t="s">
        <v>40</v>
      </c>
      <c r="H31" s="6" t="s">
        <v>43</v>
      </c>
      <c r="I31" t="s">
        <v>49</v>
      </c>
    </row>
    <row r="32" spans="1:14" ht="15" thickTop="1" x14ac:dyDescent="0.3">
      <c r="A32" s="29" t="s">
        <v>37</v>
      </c>
      <c r="B32" s="30">
        <v>1.78</v>
      </c>
      <c r="C32" s="30">
        <v>5.89</v>
      </c>
      <c r="D32" s="44">
        <v>57.78</v>
      </c>
      <c r="E32" s="30">
        <v>1.24</v>
      </c>
      <c r="F32" s="31">
        <v>44377</v>
      </c>
      <c r="G32" s="30" t="s">
        <v>41</v>
      </c>
      <c r="H32" s="30" t="s">
        <v>44</v>
      </c>
      <c r="I32" t="s">
        <v>49</v>
      </c>
    </row>
    <row r="33" spans="1:9" ht="15" thickBot="1" x14ac:dyDescent="0.35">
      <c r="A33" s="37" t="s">
        <v>36</v>
      </c>
      <c r="B33" s="38">
        <v>0.45</v>
      </c>
      <c r="C33" s="12">
        <v>9.83</v>
      </c>
      <c r="D33" s="40">
        <v>50.4</v>
      </c>
      <c r="E33" s="38">
        <v>3.71</v>
      </c>
      <c r="F33" s="17">
        <v>44385</v>
      </c>
      <c r="G33" s="38" t="s">
        <v>41</v>
      </c>
      <c r="H33" s="38" t="s">
        <v>43</v>
      </c>
      <c r="I33" t="s">
        <v>49</v>
      </c>
    </row>
    <row r="34" spans="1:9" ht="15" thickTop="1" x14ac:dyDescent="0.3">
      <c r="A34" s="32" t="s">
        <v>38</v>
      </c>
      <c r="B34" s="33">
        <v>3.62</v>
      </c>
      <c r="C34" s="32">
        <v>10.44</v>
      </c>
      <c r="D34" s="33">
        <v>57.87</v>
      </c>
      <c r="E34" s="33">
        <v>3.93</v>
      </c>
      <c r="F34" s="34">
        <v>44392</v>
      </c>
      <c r="G34" s="33" t="s">
        <v>41</v>
      </c>
      <c r="H34" s="33" t="s">
        <v>46</v>
      </c>
      <c r="I34" t="s">
        <v>49</v>
      </c>
    </row>
    <row r="35" spans="1:9" x14ac:dyDescent="0.3">
      <c r="A35" t="s">
        <v>54</v>
      </c>
      <c r="B35">
        <v>0.24</v>
      </c>
      <c r="C35">
        <v>6.8</v>
      </c>
      <c r="D35">
        <v>54.9</v>
      </c>
      <c r="E35">
        <v>10.7</v>
      </c>
      <c r="F35" s="4">
        <v>44671</v>
      </c>
      <c r="G35" t="s">
        <v>55</v>
      </c>
      <c r="H35" t="s">
        <v>46</v>
      </c>
      <c r="I35" t="s">
        <v>49</v>
      </c>
    </row>
    <row r="36" spans="1:9" x14ac:dyDescent="0.3">
      <c r="A36" t="s">
        <v>59</v>
      </c>
      <c r="B36">
        <v>0.21</v>
      </c>
      <c r="C36">
        <v>6.7</v>
      </c>
      <c r="D36">
        <v>44.9</v>
      </c>
      <c r="E36">
        <v>8.6999999999999993</v>
      </c>
      <c r="F36" s="4">
        <v>44671</v>
      </c>
      <c r="G36" t="s">
        <v>55</v>
      </c>
      <c r="H36" t="s">
        <v>46</v>
      </c>
      <c r="I36" t="s">
        <v>49</v>
      </c>
    </row>
    <row r="37" spans="1:9" x14ac:dyDescent="0.3">
      <c r="A37" t="s">
        <v>61</v>
      </c>
      <c r="B37">
        <v>0.13</v>
      </c>
      <c r="C37">
        <v>9</v>
      </c>
      <c r="D37">
        <v>54.9</v>
      </c>
      <c r="E37">
        <v>9.5</v>
      </c>
      <c r="F37" s="4">
        <v>44671</v>
      </c>
      <c r="G37" t="s">
        <v>55</v>
      </c>
      <c r="H37" t="s">
        <v>46</v>
      </c>
      <c r="I37" t="s">
        <v>49</v>
      </c>
    </row>
    <row r="38" spans="1:9" x14ac:dyDescent="0.3">
      <c r="A38" t="s">
        <v>50</v>
      </c>
      <c r="B38">
        <f>AVERAGE(B2:B37)</f>
        <v>1.594166666666667</v>
      </c>
      <c r="C38">
        <f>AVERAGE(C2:C37)</f>
        <v>11.085277777777776</v>
      </c>
      <c r="D38">
        <f>AVERAGE(D2:D37)</f>
        <v>40.94777777777778</v>
      </c>
      <c r="E38">
        <f>AVERAGE(E2:E37)</f>
        <v>4.5880555555555542</v>
      </c>
    </row>
    <row r="39" spans="1:9" x14ac:dyDescent="0.3">
      <c r="A39" t="s">
        <v>51</v>
      </c>
      <c r="B39">
        <f>_xlfn.STDEV.S(B2:B37)</f>
        <v>1.1863831590173555</v>
      </c>
      <c r="C39">
        <f>_xlfn.STDEV.S(C2:C37)</f>
        <v>5.0054430294065853</v>
      </c>
      <c r="D39">
        <f>_xlfn.STDEV.S(D2:D37)</f>
        <v>15.224712638359865</v>
      </c>
      <c r="E39">
        <f>_xlfn.STDEV.S(E2:E37)</f>
        <v>2.2583607448696652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223C-3CB4-4A47-B1E6-C5E945EDF5EF}">
  <dimension ref="A1:K13"/>
  <sheetViews>
    <sheetView workbookViewId="0">
      <selection activeCell="A2" sqref="A2:XFD11"/>
    </sheetView>
  </sheetViews>
  <sheetFormatPr baseColWidth="10" defaultRowHeight="14.4" x14ac:dyDescent="0.3"/>
  <cols>
    <col min="1" max="1" width="21" customWidth="1"/>
    <col min="10" max="10" width="14.109375" customWidth="1"/>
    <col min="11" max="11" width="18.6640625" customWidth="1"/>
  </cols>
  <sheetData>
    <row r="1" spans="1:11" ht="18" x14ac:dyDescent="0.35">
      <c r="A1" s="1" t="s">
        <v>32</v>
      </c>
      <c r="B1" s="1" t="s">
        <v>1</v>
      </c>
      <c r="C1" s="2" t="s">
        <v>2</v>
      </c>
      <c r="D1" s="2" t="s">
        <v>3</v>
      </c>
      <c r="E1" s="3" t="s">
        <v>4</v>
      </c>
      <c r="F1" s="5" t="s">
        <v>0</v>
      </c>
      <c r="G1" s="5" t="s">
        <v>39</v>
      </c>
      <c r="H1" s="5" t="s">
        <v>42</v>
      </c>
      <c r="I1" s="5" t="s">
        <v>45</v>
      </c>
      <c r="J1" s="5" t="s">
        <v>53</v>
      </c>
      <c r="K1" s="5" t="s">
        <v>56</v>
      </c>
    </row>
    <row r="2" spans="1:11" x14ac:dyDescent="0.3">
      <c r="A2" s="8" t="s">
        <v>22</v>
      </c>
      <c r="B2" s="9">
        <v>0.5</v>
      </c>
      <c r="C2" s="9">
        <v>6.91</v>
      </c>
      <c r="D2" s="9">
        <v>13.46</v>
      </c>
      <c r="E2" s="10">
        <v>1.8</v>
      </c>
      <c r="F2" s="7">
        <v>43557</v>
      </c>
      <c r="G2" s="6" t="s">
        <v>40</v>
      </c>
      <c r="H2" s="6" t="s">
        <v>43</v>
      </c>
      <c r="I2" t="s">
        <v>47</v>
      </c>
      <c r="J2">
        <v>1</v>
      </c>
      <c r="K2" t="s">
        <v>63</v>
      </c>
    </row>
    <row r="3" spans="1:11" x14ac:dyDescent="0.3">
      <c r="A3" s="8" t="s">
        <v>19</v>
      </c>
      <c r="B3" s="9">
        <v>1.44</v>
      </c>
      <c r="C3" s="9">
        <v>14.64</v>
      </c>
      <c r="D3" s="9">
        <v>25.29</v>
      </c>
      <c r="E3" s="10">
        <v>4.7300000000000004</v>
      </c>
      <c r="F3" s="7">
        <v>43559</v>
      </c>
      <c r="G3" s="6" t="s">
        <v>40</v>
      </c>
      <c r="H3" s="6" t="s">
        <v>43</v>
      </c>
      <c r="I3" t="s">
        <v>47</v>
      </c>
      <c r="J3">
        <v>1</v>
      </c>
      <c r="K3" t="s">
        <v>63</v>
      </c>
    </row>
    <row r="4" spans="1:11" x14ac:dyDescent="0.3">
      <c r="A4" s="8" t="s">
        <v>16</v>
      </c>
      <c r="B4" s="9">
        <v>1.05</v>
      </c>
      <c r="C4" s="9">
        <v>16.760000000000002</v>
      </c>
      <c r="D4" s="9">
        <v>12.24</v>
      </c>
      <c r="E4" s="10">
        <v>3.69</v>
      </c>
      <c r="F4" s="7">
        <v>43564</v>
      </c>
      <c r="G4" s="6" t="s">
        <v>40</v>
      </c>
      <c r="H4" s="6" t="s">
        <v>43</v>
      </c>
      <c r="I4" t="s">
        <v>47</v>
      </c>
      <c r="J4">
        <v>1</v>
      </c>
      <c r="K4" t="s">
        <v>63</v>
      </c>
    </row>
    <row r="5" spans="1:11" x14ac:dyDescent="0.3">
      <c r="A5" s="8" t="s">
        <v>13</v>
      </c>
      <c r="B5" s="9">
        <v>1.77</v>
      </c>
      <c r="C5" s="9">
        <v>18.18</v>
      </c>
      <c r="D5" s="9">
        <v>15.96</v>
      </c>
      <c r="E5" s="10">
        <v>5.83</v>
      </c>
      <c r="F5" s="7">
        <v>43567</v>
      </c>
      <c r="G5" s="6" t="s">
        <v>40</v>
      </c>
      <c r="H5" s="6" t="s">
        <v>43</v>
      </c>
      <c r="I5" t="s">
        <v>47</v>
      </c>
      <c r="J5">
        <v>2</v>
      </c>
      <c r="K5" t="s">
        <v>63</v>
      </c>
    </row>
    <row r="6" spans="1:11" x14ac:dyDescent="0.3">
      <c r="A6" s="21" t="s">
        <v>10</v>
      </c>
      <c r="B6" s="22">
        <v>2.96</v>
      </c>
      <c r="C6" s="22">
        <v>16.89</v>
      </c>
      <c r="D6" s="22">
        <v>23.44</v>
      </c>
      <c r="E6" s="23">
        <v>6.4</v>
      </c>
      <c r="F6" s="24">
        <v>43571</v>
      </c>
      <c r="G6" s="25" t="s">
        <v>40</v>
      </c>
      <c r="H6" s="25" t="s">
        <v>44</v>
      </c>
      <c r="I6" t="s">
        <v>47</v>
      </c>
      <c r="J6">
        <v>2</v>
      </c>
      <c r="K6" t="s">
        <v>63</v>
      </c>
    </row>
    <row r="7" spans="1:11" x14ac:dyDescent="0.3">
      <c r="A7" s="8" t="s">
        <v>7</v>
      </c>
      <c r="B7" s="9">
        <v>2.97</v>
      </c>
      <c r="C7" s="9">
        <v>17.34</v>
      </c>
      <c r="D7" s="9">
        <v>21.88</v>
      </c>
      <c r="E7" s="10">
        <v>5.08</v>
      </c>
      <c r="F7" s="7">
        <v>43572</v>
      </c>
      <c r="G7" s="6" t="s">
        <v>40</v>
      </c>
      <c r="H7" s="6" t="s">
        <v>43</v>
      </c>
      <c r="I7" t="s">
        <v>47</v>
      </c>
      <c r="J7">
        <v>2</v>
      </c>
      <c r="K7" t="s">
        <v>63</v>
      </c>
    </row>
    <row r="8" spans="1:11" x14ac:dyDescent="0.3">
      <c r="A8" s="8" t="s">
        <v>23</v>
      </c>
      <c r="B8" s="9">
        <v>2.65</v>
      </c>
      <c r="C8" s="9">
        <v>17.829999999999998</v>
      </c>
      <c r="D8" s="9">
        <v>24.94</v>
      </c>
      <c r="E8" s="10">
        <v>5.68</v>
      </c>
      <c r="F8" s="7">
        <v>43574</v>
      </c>
      <c r="G8" s="6" t="s">
        <v>40</v>
      </c>
      <c r="H8" s="6" t="s">
        <v>43</v>
      </c>
      <c r="I8" t="s">
        <v>47</v>
      </c>
      <c r="J8">
        <v>2</v>
      </c>
      <c r="K8" t="s">
        <v>63</v>
      </c>
    </row>
    <row r="9" spans="1:11" x14ac:dyDescent="0.3">
      <c r="A9" s="18" t="s">
        <v>26</v>
      </c>
      <c r="B9" s="19">
        <v>3.01</v>
      </c>
      <c r="C9" s="19">
        <v>23.02</v>
      </c>
      <c r="D9" s="19">
        <v>22.05</v>
      </c>
      <c r="E9" s="20">
        <v>5.82</v>
      </c>
      <c r="F9" s="16">
        <v>43578</v>
      </c>
      <c r="G9" s="15" t="s">
        <v>40</v>
      </c>
      <c r="H9" s="15" t="s">
        <v>46</v>
      </c>
      <c r="I9" s="15" t="s">
        <v>47</v>
      </c>
      <c r="J9">
        <v>2</v>
      </c>
      <c r="K9" t="s">
        <v>63</v>
      </c>
    </row>
    <row r="10" spans="1:11" x14ac:dyDescent="0.3">
      <c r="A10" s="8" t="s">
        <v>29</v>
      </c>
      <c r="B10" s="9">
        <v>1.53</v>
      </c>
      <c r="C10" s="9">
        <v>17.46</v>
      </c>
      <c r="D10" s="9">
        <v>24.15</v>
      </c>
      <c r="E10" s="10">
        <v>6.36</v>
      </c>
      <c r="F10" s="7">
        <v>43585</v>
      </c>
      <c r="G10" s="6" t="s">
        <v>40</v>
      </c>
      <c r="H10" s="6" t="s">
        <v>43</v>
      </c>
      <c r="I10" t="s">
        <v>47</v>
      </c>
      <c r="J10">
        <v>2</v>
      </c>
      <c r="K10" t="s">
        <v>63</v>
      </c>
    </row>
    <row r="11" spans="1:11" x14ac:dyDescent="0.3">
      <c r="A11" s="21" t="s">
        <v>33</v>
      </c>
      <c r="B11" s="22">
        <v>5.0999999999999996</v>
      </c>
      <c r="C11" s="22">
        <v>18.100000000000001</v>
      </c>
      <c r="D11" s="22">
        <v>28.18</v>
      </c>
      <c r="E11" s="23">
        <v>6.54</v>
      </c>
      <c r="F11" s="24">
        <v>43594</v>
      </c>
      <c r="G11" s="25" t="s">
        <v>40</v>
      </c>
      <c r="H11" s="25" t="s">
        <v>44</v>
      </c>
      <c r="I11" t="s">
        <v>47</v>
      </c>
      <c r="J11">
        <v>2</v>
      </c>
      <c r="K11" t="s">
        <v>63</v>
      </c>
    </row>
    <row r="12" spans="1:11" x14ac:dyDescent="0.3">
      <c r="A12" t="s">
        <v>52</v>
      </c>
      <c r="B12">
        <f>AVERAGE(B2:B11)</f>
        <v>2.2980000000000005</v>
      </c>
      <c r="C12">
        <f>AVERAGE(C2:C11)</f>
        <v>16.713000000000001</v>
      </c>
      <c r="D12">
        <f>AVERAGE(D2:D11)</f>
        <v>21.159000000000002</v>
      </c>
      <c r="E12">
        <f>AVERAGE(E2:E11)</f>
        <v>5.1929999999999996</v>
      </c>
    </row>
    <row r="13" spans="1:11" x14ac:dyDescent="0.3">
      <c r="A13" t="s">
        <v>51</v>
      </c>
      <c r="B13">
        <f>_xlfn.STDEV.S(B2:B11)</f>
        <v>1.3235877169437773</v>
      </c>
      <c r="C13">
        <f>_xlfn.STDEV.S(C2:C11)</f>
        <v>4.0343333471040301</v>
      </c>
      <c r="D13">
        <f>_xlfn.STDEV.S(D2:D11)</f>
        <v>5.395173666239919</v>
      </c>
      <c r="E13">
        <f>_xlfn.STDEV.S(E2:E11)</f>
        <v>1.4782801568790063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8085-E21A-463A-A738-6BBE1233C1BF}">
  <dimension ref="A1:K13"/>
  <sheetViews>
    <sheetView workbookViewId="0">
      <selection activeCell="H10" sqref="H10"/>
    </sheetView>
  </sheetViews>
  <sheetFormatPr baseColWidth="10" defaultRowHeight="14.4" x14ac:dyDescent="0.3"/>
  <cols>
    <col min="1" max="1" width="17.21875" customWidth="1"/>
    <col min="7" max="7" width="16.6640625" customWidth="1"/>
  </cols>
  <sheetData>
    <row r="1" spans="1:11" ht="18" x14ac:dyDescent="0.35">
      <c r="A1" s="1" t="s">
        <v>32</v>
      </c>
      <c r="B1" s="1" t="s">
        <v>1</v>
      </c>
      <c r="C1" s="2" t="s">
        <v>2</v>
      </c>
      <c r="D1" s="2" t="s">
        <v>3</v>
      </c>
      <c r="E1" s="3" t="s">
        <v>4</v>
      </c>
      <c r="F1" s="5" t="s">
        <v>0</v>
      </c>
      <c r="G1" s="5" t="s">
        <v>39</v>
      </c>
      <c r="H1" s="5" t="s">
        <v>42</v>
      </c>
      <c r="I1" s="5" t="s">
        <v>45</v>
      </c>
      <c r="J1" s="5" t="s">
        <v>53</v>
      </c>
      <c r="K1" s="5" t="s">
        <v>56</v>
      </c>
    </row>
    <row r="2" spans="1:11" x14ac:dyDescent="0.3">
      <c r="A2" s="21" t="s">
        <v>21</v>
      </c>
      <c r="B2" s="22">
        <v>0.24</v>
      </c>
      <c r="C2" s="22">
        <v>3.91</v>
      </c>
      <c r="D2" s="22">
        <v>24.44</v>
      </c>
      <c r="E2" s="23">
        <v>1.08</v>
      </c>
      <c r="F2" s="24">
        <v>43557</v>
      </c>
      <c r="G2" s="25" t="s">
        <v>40</v>
      </c>
      <c r="H2" s="25" t="s">
        <v>44</v>
      </c>
      <c r="I2" t="s">
        <v>48</v>
      </c>
      <c r="J2">
        <v>1</v>
      </c>
      <c r="K2" t="s">
        <v>63</v>
      </c>
    </row>
    <row r="3" spans="1:11" x14ac:dyDescent="0.3">
      <c r="A3" s="8" t="s">
        <v>18</v>
      </c>
      <c r="B3" s="9">
        <v>0.67</v>
      </c>
      <c r="C3" s="9">
        <v>6.04</v>
      </c>
      <c r="D3" s="9">
        <v>46.43</v>
      </c>
      <c r="E3" s="10">
        <v>2.2799999999999998</v>
      </c>
      <c r="F3" s="7">
        <v>43559</v>
      </c>
      <c r="G3" s="6" t="s">
        <v>40</v>
      </c>
      <c r="H3" s="6" t="s">
        <v>43</v>
      </c>
      <c r="I3" t="s">
        <v>48</v>
      </c>
      <c r="J3">
        <v>1</v>
      </c>
      <c r="K3" t="s">
        <v>63</v>
      </c>
    </row>
    <row r="4" spans="1:11" x14ac:dyDescent="0.3">
      <c r="A4" s="8" t="s">
        <v>15</v>
      </c>
      <c r="B4" s="9">
        <v>0.66</v>
      </c>
      <c r="C4" s="9">
        <v>8.57</v>
      </c>
      <c r="D4" s="9">
        <v>33.590000000000003</v>
      </c>
      <c r="E4" s="10">
        <v>2.68</v>
      </c>
      <c r="F4" s="7">
        <v>43564</v>
      </c>
      <c r="G4" s="6" t="s">
        <v>40</v>
      </c>
      <c r="H4" s="6" t="s">
        <v>43</v>
      </c>
      <c r="I4" t="s">
        <v>48</v>
      </c>
      <c r="J4">
        <v>1</v>
      </c>
      <c r="K4" t="s">
        <v>63</v>
      </c>
    </row>
    <row r="5" spans="1:11" x14ac:dyDescent="0.3">
      <c r="A5" s="8" t="s">
        <v>12</v>
      </c>
      <c r="B5" s="9">
        <v>1.95</v>
      </c>
      <c r="C5" s="9">
        <v>12.02</v>
      </c>
      <c r="D5" s="9">
        <v>40.61</v>
      </c>
      <c r="E5" s="10">
        <v>5.0599999999999996</v>
      </c>
      <c r="F5" s="7">
        <v>43567</v>
      </c>
      <c r="G5" s="6" t="s">
        <v>40</v>
      </c>
      <c r="H5" s="6" t="s">
        <v>43</v>
      </c>
      <c r="I5" t="s">
        <v>48</v>
      </c>
      <c r="J5">
        <v>2</v>
      </c>
      <c r="K5" t="s">
        <v>63</v>
      </c>
    </row>
    <row r="6" spans="1:11" x14ac:dyDescent="0.3">
      <c r="A6" s="8" t="s">
        <v>9</v>
      </c>
      <c r="B6" s="9">
        <v>3.09</v>
      </c>
      <c r="C6" s="9">
        <v>10.49</v>
      </c>
      <c r="D6" s="9">
        <v>46.45</v>
      </c>
      <c r="E6" s="10">
        <v>5.01</v>
      </c>
      <c r="F6" s="7">
        <v>43571</v>
      </c>
      <c r="G6" s="6" t="s">
        <v>40</v>
      </c>
      <c r="H6" s="6" t="s">
        <v>43</v>
      </c>
      <c r="I6" t="s">
        <v>48</v>
      </c>
      <c r="J6">
        <v>2</v>
      </c>
      <c r="K6" t="s">
        <v>63</v>
      </c>
    </row>
    <row r="7" spans="1:11" x14ac:dyDescent="0.3">
      <c r="A7" s="18" t="s">
        <v>6</v>
      </c>
      <c r="B7" s="19">
        <v>2.54</v>
      </c>
      <c r="C7" s="19">
        <v>10.58</v>
      </c>
      <c r="D7" s="19">
        <v>45.99</v>
      </c>
      <c r="E7" s="20">
        <v>3.62</v>
      </c>
      <c r="F7" s="16">
        <v>43572</v>
      </c>
      <c r="G7" s="15" t="s">
        <v>40</v>
      </c>
      <c r="H7" s="15" t="s">
        <v>46</v>
      </c>
      <c r="I7" t="s">
        <v>48</v>
      </c>
      <c r="J7">
        <v>2</v>
      </c>
      <c r="K7" t="s">
        <v>63</v>
      </c>
    </row>
    <row r="8" spans="1:11" x14ac:dyDescent="0.3">
      <c r="A8" s="8" t="s">
        <v>24</v>
      </c>
      <c r="B8" s="9">
        <v>1.96</v>
      </c>
      <c r="C8" s="9">
        <v>12.13</v>
      </c>
      <c r="D8" s="9">
        <v>47.89</v>
      </c>
      <c r="E8" s="10">
        <v>4.8499999999999996</v>
      </c>
      <c r="F8" s="7">
        <v>43574</v>
      </c>
      <c r="G8" s="6" t="s">
        <v>40</v>
      </c>
      <c r="H8" s="6" t="s">
        <v>43</v>
      </c>
      <c r="I8" t="s">
        <v>48</v>
      </c>
      <c r="J8">
        <v>2</v>
      </c>
      <c r="K8" t="s">
        <v>63</v>
      </c>
    </row>
    <row r="9" spans="1:11" x14ac:dyDescent="0.3">
      <c r="A9" s="21" t="s">
        <v>27</v>
      </c>
      <c r="B9" s="22">
        <v>2.72</v>
      </c>
      <c r="C9" s="22">
        <v>19.22</v>
      </c>
      <c r="D9" s="22">
        <v>33.200000000000003</v>
      </c>
      <c r="E9" s="23">
        <v>6.15</v>
      </c>
      <c r="F9" s="24">
        <v>43578</v>
      </c>
      <c r="G9" s="25" t="s">
        <v>40</v>
      </c>
      <c r="H9" s="25" t="s">
        <v>44</v>
      </c>
      <c r="I9" t="s">
        <v>48</v>
      </c>
      <c r="J9">
        <v>2</v>
      </c>
      <c r="K9" t="s">
        <v>63</v>
      </c>
    </row>
    <row r="10" spans="1:11" x14ac:dyDescent="0.3">
      <c r="A10" s="8" t="s">
        <v>30</v>
      </c>
      <c r="B10" s="9">
        <v>0.91</v>
      </c>
      <c r="C10" s="9">
        <v>11.15</v>
      </c>
      <c r="D10" s="9">
        <v>45.26</v>
      </c>
      <c r="E10" s="10">
        <v>4.88</v>
      </c>
      <c r="F10" s="7">
        <v>43585</v>
      </c>
      <c r="G10" s="6" t="s">
        <v>40</v>
      </c>
      <c r="H10" s="6" t="s">
        <v>43</v>
      </c>
      <c r="I10" t="s">
        <v>48</v>
      </c>
      <c r="J10">
        <v>2</v>
      </c>
      <c r="K10" t="s">
        <v>63</v>
      </c>
    </row>
    <row r="11" spans="1:11" x14ac:dyDescent="0.3">
      <c r="A11" s="8" t="s">
        <v>34</v>
      </c>
      <c r="B11" s="9">
        <v>2.63</v>
      </c>
      <c r="C11" s="9">
        <v>11.08</v>
      </c>
      <c r="D11" s="9">
        <v>43.36</v>
      </c>
      <c r="E11" s="10">
        <v>4.0599999999999996</v>
      </c>
      <c r="F11" s="7">
        <v>43594</v>
      </c>
      <c r="G11" s="6" t="s">
        <v>40</v>
      </c>
      <c r="H11" s="6" t="s">
        <v>43</v>
      </c>
      <c r="I11" t="s">
        <v>48</v>
      </c>
      <c r="J11">
        <v>2</v>
      </c>
      <c r="K11" t="s">
        <v>63</v>
      </c>
    </row>
    <row r="12" spans="1:11" x14ac:dyDescent="0.3">
      <c r="A12" t="s">
        <v>52</v>
      </c>
      <c r="B12">
        <f>AVERAGE(B2:B11)</f>
        <v>1.7370000000000001</v>
      </c>
      <c r="C12">
        <f>AVERAGE(C2:C11)</f>
        <v>10.519000000000002</v>
      </c>
      <c r="D12">
        <f>AVERAGE(D2:D11)</f>
        <v>40.721999999999994</v>
      </c>
      <c r="E12">
        <f>AVERAGE(E2:E11)</f>
        <v>3.9670000000000001</v>
      </c>
    </row>
    <row r="13" spans="1:11" x14ac:dyDescent="0.3">
      <c r="A13" t="s">
        <v>51</v>
      </c>
      <c r="B13">
        <f>_xlfn.STDEV.S(B2:B11)</f>
        <v>1.0305128173228446</v>
      </c>
      <c r="C13">
        <f>_xlfn.STDEV.S(C2:C11)</f>
        <v>4.0662853646376851</v>
      </c>
      <c r="D13">
        <f>_xlfn.STDEV.S(D2:D11)</f>
        <v>7.7791584806241625</v>
      </c>
      <c r="E13">
        <f>_xlfn.STDEV.S(E2:E11)</f>
        <v>1.5501759756735864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35CC-1E11-402C-A519-BB69D864162D}">
  <dimension ref="A1:K19"/>
  <sheetViews>
    <sheetView topLeftCell="A10" workbookViewId="0">
      <selection activeCell="B25" sqref="B25"/>
    </sheetView>
  </sheetViews>
  <sheetFormatPr baseColWidth="10" defaultRowHeight="14.4" x14ac:dyDescent="0.3"/>
  <cols>
    <col min="1" max="1" width="29.77734375" customWidth="1"/>
    <col min="2" max="2" width="27.77734375" customWidth="1"/>
    <col min="3" max="3" width="21.5546875" customWidth="1"/>
    <col min="4" max="4" width="22" customWidth="1"/>
    <col min="5" max="5" width="22.5546875" customWidth="1"/>
    <col min="11" max="11" width="19.88671875" customWidth="1"/>
  </cols>
  <sheetData>
    <row r="1" spans="1:11" ht="18" x14ac:dyDescent="0.35">
      <c r="A1" s="1" t="s">
        <v>32</v>
      </c>
      <c r="B1" s="1" t="s">
        <v>1</v>
      </c>
      <c r="C1" s="2" t="s">
        <v>2</v>
      </c>
      <c r="D1" s="2" t="s">
        <v>3</v>
      </c>
      <c r="E1" s="3" t="s">
        <v>4</v>
      </c>
      <c r="F1" s="5" t="s">
        <v>0</v>
      </c>
      <c r="G1" s="5" t="s">
        <v>39</v>
      </c>
      <c r="H1" s="5" t="s">
        <v>42</v>
      </c>
      <c r="I1" s="5" t="s">
        <v>45</v>
      </c>
      <c r="J1" s="5" t="s">
        <v>53</v>
      </c>
      <c r="K1" s="5" t="s">
        <v>56</v>
      </c>
    </row>
    <row r="2" spans="1:11" ht="15" thickBot="1" x14ac:dyDescent="0.35">
      <c r="A2" s="8" t="s">
        <v>20</v>
      </c>
      <c r="B2" s="12">
        <v>0.12</v>
      </c>
      <c r="C2" s="12">
        <v>2.5099999999999998</v>
      </c>
      <c r="D2" s="39">
        <v>32.44</v>
      </c>
      <c r="E2" s="12">
        <v>0.88</v>
      </c>
      <c r="F2" s="7">
        <v>43557</v>
      </c>
      <c r="G2" s="6" t="s">
        <v>40</v>
      </c>
      <c r="H2" s="6" t="s">
        <v>43</v>
      </c>
      <c r="I2" t="s">
        <v>49</v>
      </c>
      <c r="J2">
        <v>1</v>
      </c>
      <c r="K2" t="s">
        <v>63</v>
      </c>
    </row>
    <row r="3" spans="1:11" ht="15.6" thickTop="1" thickBot="1" x14ac:dyDescent="0.35">
      <c r="A3" s="35" t="s">
        <v>17</v>
      </c>
      <c r="B3" s="13">
        <v>0.46</v>
      </c>
      <c r="C3" s="12">
        <v>5.16</v>
      </c>
      <c r="D3" s="39">
        <v>54.46</v>
      </c>
      <c r="E3" s="12">
        <v>2.48</v>
      </c>
      <c r="F3" s="7">
        <v>43559</v>
      </c>
      <c r="G3" s="6" t="s">
        <v>40</v>
      </c>
      <c r="H3" s="6" t="s">
        <v>43</v>
      </c>
      <c r="I3" t="s">
        <v>49</v>
      </c>
      <c r="J3">
        <v>1</v>
      </c>
      <c r="K3" t="s">
        <v>63</v>
      </c>
    </row>
    <row r="4" spans="1:11" ht="15.6" thickTop="1" thickBot="1" x14ac:dyDescent="0.35">
      <c r="A4" s="35" t="s">
        <v>14</v>
      </c>
      <c r="B4" s="13">
        <v>0.45</v>
      </c>
      <c r="C4" s="12">
        <v>6.31</v>
      </c>
      <c r="D4" s="41">
        <v>46.51</v>
      </c>
      <c r="E4" s="12">
        <v>2.2999999999999998</v>
      </c>
      <c r="F4" s="7">
        <v>43564</v>
      </c>
      <c r="G4" s="6" t="s">
        <v>40</v>
      </c>
      <c r="H4" s="6" t="s">
        <v>43</v>
      </c>
      <c r="I4" t="s">
        <v>49</v>
      </c>
      <c r="J4">
        <v>1</v>
      </c>
      <c r="K4" t="s">
        <v>63</v>
      </c>
    </row>
    <row r="5" spans="1:11" ht="15.6" thickTop="1" thickBot="1" x14ac:dyDescent="0.35">
      <c r="A5" s="26" t="s">
        <v>11</v>
      </c>
      <c r="B5" s="27">
        <v>1.62</v>
      </c>
      <c r="C5" s="42">
        <v>10.95</v>
      </c>
      <c r="D5" s="42">
        <v>49.52</v>
      </c>
      <c r="E5" s="28">
        <v>5.18</v>
      </c>
      <c r="F5" s="24">
        <v>43567</v>
      </c>
      <c r="G5" s="25" t="s">
        <v>40</v>
      </c>
      <c r="H5" s="25" t="s">
        <v>44</v>
      </c>
      <c r="I5" t="s">
        <v>49</v>
      </c>
      <c r="J5">
        <v>2</v>
      </c>
      <c r="K5" t="s">
        <v>63</v>
      </c>
    </row>
    <row r="6" spans="1:11" ht="15.6" thickTop="1" thickBot="1" x14ac:dyDescent="0.35">
      <c r="A6" s="35" t="s">
        <v>8</v>
      </c>
      <c r="B6" s="12">
        <v>2.6</v>
      </c>
      <c r="C6" s="12">
        <v>7.45</v>
      </c>
      <c r="D6" s="41">
        <v>63.11</v>
      </c>
      <c r="E6" s="14">
        <v>4.45</v>
      </c>
      <c r="F6" s="7">
        <v>43571</v>
      </c>
      <c r="G6" s="6" t="s">
        <v>40</v>
      </c>
      <c r="H6" s="6" t="s">
        <v>43</v>
      </c>
      <c r="I6" t="s">
        <v>49</v>
      </c>
      <c r="J6">
        <v>2</v>
      </c>
      <c r="K6" t="s">
        <v>63</v>
      </c>
    </row>
    <row r="7" spans="1:11" ht="15.6" thickTop="1" thickBot="1" x14ac:dyDescent="0.35">
      <c r="A7" s="35" t="s">
        <v>5</v>
      </c>
      <c r="B7" s="13">
        <v>0.93</v>
      </c>
      <c r="C7" s="12">
        <v>6.9</v>
      </c>
      <c r="D7" s="39">
        <v>61.63</v>
      </c>
      <c r="E7" s="14">
        <v>2.63</v>
      </c>
      <c r="F7" s="7">
        <v>43572</v>
      </c>
      <c r="G7" s="6" t="s">
        <v>40</v>
      </c>
      <c r="H7" s="6" t="s">
        <v>43</v>
      </c>
      <c r="I7" t="s">
        <v>49</v>
      </c>
      <c r="J7">
        <v>2</v>
      </c>
      <c r="K7" t="s">
        <v>63</v>
      </c>
    </row>
    <row r="8" spans="1:11" ht="15.6" thickTop="1" thickBot="1" x14ac:dyDescent="0.35">
      <c r="A8" s="11" t="s">
        <v>25</v>
      </c>
      <c r="B8" s="36">
        <v>1.37</v>
      </c>
      <c r="C8" s="12">
        <v>8.93</v>
      </c>
      <c r="D8" s="41">
        <v>62.26</v>
      </c>
      <c r="E8" s="12">
        <v>3.94</v>
      </c>
      <c r="F8" s="7">
        <v>43574</v>
      </c>
      <c r="G8" s="6" t="s">
        <v>40</v>
      </c>
      <c r="H8" s="6" t="s">
        <v>43</v>
      </c>
      <c r="I8" t="s">
        <v>49</v>
      </c>
      <c r="J8">
        <v>2</v>
      </c>
      <c r="K8" t="s">
        <v>63</v>
      </c>
    </row>
    <row r="9" spans="1:11" ht="15.6" thickTop="1" thickBot="1" x14ac:dyDescent="0.35">
      <c r="A9" s="11" t="s">
        <v>28</v>
      </c>
      <c r="B9" s="13">
        <v>1.07</v>
      </c>
      <c r="C9" s="12">
        <v>13.28</v>
      </c>
      <c r="D9" s="41">
        <v>52.57</v>
      </c>
      <c r="E9" s="12">
        <v>4.8499999999999996</v>
      </c>
      <c r="F9" s="7">
        <v>43578</v>
      </c>
      <c r="G9" s="6" t="s">
        <v>40</v>
      </c>
      <c r="H9" s="6" t="s">
        <v>43</v>
      </c>
      <c r="I9" t="s">
        <v>49</v>
      </c>
      <c r="J9">
        <v>2</v>
      </c>
      <c r="K9" t="s">
        <v>63</v>
      </c>
    </row>
    <row r="10" spans="1:11" ht="15.6" thickTop="1" thickBot="1" x14ac:dyDescent="0.35">
      <c r="A10" s="11" t="s">
        <v>31</v>
      </c>
      <c r="B10" s="12">
        <v>0.7</v>
      </c>
      <c r="C10" s="12">
        <v>9.64</v>
      </c>
      <c r="D10" s="41">
        <v>54.78</v>
      </c>
      <c r="E10" s="14">
        <v>6.86</v>
      </c>
      <c r="F10" s="7">
        <v>43585</v>
      </c>
      <c r="G10" s="6" t="s">
        <v>40</v>
      </c>
      <c r="H10" s="6" t="s">
        <v>43</v>
      </c>
      <c r="I10" t="s">
        <v>49</v>
      </c>
      <c r="J10">
        <v>2</v>
      </c>
      <c r="K10" t="s">
        <v>63</v>
      </c>
    </row>
    <row r="11" spans="1:11" ht="15.6" thickTop="1" thickBot="1" x14ac:dyDescent="0.35">
      <c r="A11" s="11" t="s">
        <v>35</v>
      </c>
      <c r="B11" s="9">
        <v>1.29</v>
      </c>
      <c r="C11" s="12">
        <v>6.96</v>
      </c>
      <c r="D11" s="43">
        <v>57.28</v>
      </c>
      <c r="E11" s="10">
        <v>2.2200000000000002</v>
      </c>
      <c r="F11" s="7">
        <v>43594</v>
      </c>
      <c r="G11" s="6" t="s">
        <v>40</v>
      </c>
      <c r="H11" s="6" t="s">
        <v>43</v>
      </c>
      <c r="I11" t="s">
        <v>49</v>
      </c>
      <c r="J11">
        <v>2</v>
      </c>
      <c r="K11" t="s">
        <v>63</v>
      </c>
    </row>
    <row r="12" spans="1:11" ht="17.399999999999999" customHeight="1" thickTop="1" x14ac:dyDescent="0.3">
      <c r="A12" s="29" t="s">
        <v>37</v>
      </c>
      <c r="B12" s="30">
        <v>1.78</v>
      </c>
      <c r="C12" s="30">
        <v>5.89</v>
      </c>
      <c r="D12" s="44">
        <v>57.78</v>
      </c>
      <c r="E12" s="30">
        <v>1.24</v>
      </c>
      <c r="F12" s="31">
        <v>44377</v>
      </c>
      <c r="G12" s="30" t="s">
        <v>41</v>
      </c>
      <c r="H12" s="30" t="s">
        <v>44</v>
      </c>
      <c r="I12" t="s">
        <v>49</v>
      </c>
      <c r="J12">
        <v>3</v>
      </c>
      <c r="K12" t="s">
        <v>57</v>
      </c>
    </row>
    <row r="13" spans="1:11" ht="19.8" customHeight="1" thickBot="1" x14ac:dyDescent="0.35">
      <c r="A13" s="37" t="s">
        <v>36</v>
      </c>
      <c r="B13" s="38">
        <v>0.45</v>
      </c>
      <c r="C13" s="12">
        <v>9.83</v>
      </c>
      <c r="D13" s="40">
        <v>50.4</v>
      </c>
      <c r="E13" s="38">
        <v>3.71</v>
      </c>
      <c r="F13" s="17">
        <v>44385</v>
      </c>
      <c r="G13" s="38" t="s">
        <v>41</v>
      </c>
      <c r="H13" s="38" t="s">
        <v>43</v>
      </c>
      <c r="I13" t="s">
        <v>49</v>
      </c>
      <c r="J13">
        <v>3</v>
      </c>
      <c r="K13" t="s">
        <v>57</v>
      </c>
    </row>
    <row r="14" spans="1:11" ht="15" thickTop="1" x14ac:dyDescent="0.3">
      <c r="A14" s="32" t="s">
        <v>38</v>
      </c>
      <c r="B14" s="33">
        <v>3.62</v>
      </c>
      <c r="C14" s="32">
        <v>10.44</v>
      </c>
      <c r="D14" s="33">
        <v>57.87</v>
      </c>
      <c r="E14" s="33">
        <v>3.93</v>
      </c>
      <c r="F14" s="34">
        <v>44392</v>
      </c>
      <c r="G14" s="33" t="s">
        <v>41</v>
      </c>
      <c r="H14" s="33" t="s">
        <v>46</v>
      </c>
      <c r="I14" t="s">
        <v>49</v>
      </c>
      <c r="J14">
        <v>3</v>
      </c>
      <c r="K14" t="s">
        <v>57</v>
      </c>
    </row>
    <row r="15" spans="1:11" x14ac:dyDescent="0.3">
      <c r="A15" t="s">
        <v>54</v>
      </c>
      <c r="B15">
        <v>0.24</v>
      </c>
      <c r="C15">
        <v>6.8</v>
      </c>
      <c r="D15">
        <v>54.9</v>
      </c>
      <c r="E15">
        <v>10.7</v>
      </c>
      <c r="F15" s="4">
        <v>44671</v>
      </c>
      <c r="G15" t="s">
        <v>55</v>
      </c>
      <c r="H15" t="s">
        <v>46</v>
      </c>
      <c r="I15" t="s">
        <v>49</v>
      </c>
      <c r="J15">
        <v>4</v>
      </c>
      <c r="K15" t="s">
        <v>60</v>
      </c>
    </row>
    <row r="16" spans="1:11" x14ac:dyDescent="0.3">
      <c r="A16" t="s">
        <v>59</v>
      </c>
      <c r="B16">
        <v>0.21</v>
      </c>
      <c r="C16">
        <v>6.7</v>
      </c>
      <c r="D16">
        <v>44.9</v>
      </c>
      <c r="E16">
        <v>8.6999999999999993</v>
      </c>
      <c r="F16" s="4">
        <v>44671</v>
      </c>
      <c r="G16" t="s">
        <v>55</v>
      </c>
      <c r="H16" t="s">
        <v>46</v>
      </c>
      <c r="I16" t="s">
        <v>49</v>
      </c>
      <c r="J16">
        <v>4</v>
      </c>
      <c r="K16" t="s">
        <v>58</v>
      </c>
    </row>
    <row r="17" spans="1:11" x14ac:dyDescent="0.3">
      <c r="A17" t="s">
        <v>61</v>
      </c>
      <c r="B17">
        <v>0.13</v>
      </c>
      <c r="C17">
        <v>9</v>
      </c>
      <c r="D17">
        <v>54.9</v>
      </c>
      <c r="E17">
        <v>9.5</v>
      </c>
      <c r="F17" s="4">
        <v>44671</v>
      </c>
      <c r="G17" t="s">
        <v>55</v>
      </c>
      <c r="H17" t="s">
        <v>46</v>
      </c>
      <c r="I17" t="s">
        <v>49</v>
      </c>
      <c r="J17">
        <v>4</v>
      </c>
      <c r="K17" t="s">
        <v>62</v>
      </c>
    </row>
    <row r="18" spans="1:11" x14ac:dyDescent="0.3">
      <c r="A18" t="s">
        <v>52</v>
      </c>
      <c r="B18">
        <f>AVERAGE(B2:B17)</f>
        <v>1.0649999999999997</v>
      </c>
      <c r="C18">
        <f>AVERAGE(C2:C17)</f>
        <v>7.9218749999999991</v>
      </c>
      <c r="D18">
        <f>AVERAGE(D2:D17)</f>
        <v>53.456874999999989</v>
      </c>
      <c r="E18">
        <f>AVERAGE(E2:E17)</f>
        <v>4.5981250000000005</v>
      </c>
    </row>
    <row r="19" spans="1:11" x14ac:dyDescent="0.3">
      <c r="A19" t="s">
        <v>51</v>
      </c>
      <c r="B19">
        <f>_xlfn.STDEV.S(B2:B17)</f>
        <v>0.97638790105845441</v>
      </c>
      <c r="C19">
        <f>_xlfn.STDEV.S(C2:C17)</f>
        <v>2.6022841729270643</v>
      </c>
      <c r="D19">
        <f>_xlfn.STDEV.S(D2:D17)</f>
        <v>7.685482174203595</v>
      </c>
      <c r="E19">
        <f>_xlfn.STDEV.S(E2:E17)</f>
        <v>2.9404449068125715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21A9-F8E8-45E7-A06B-F143E1C70711}">
  <dimension ref="B3:J28"/>
  <sheetViews>
    <sheetView topLeftCell="B1" workbookViewId="0">
      <selection activeCell="N28" sqref="N28"/>
    </sheetView>
  </sheetViews>
  <sheetFormatPr baseColWidth="10" defaultRowHeight="14.4" x14ac:dyDescent="0.3"/>
  <cols>
    <col min="2" max="2" width="22.21875" customWidth="1"/>
    <col min="7" max="7" width="20.33203125" customWidth="1"/>
    <col min="12" max="12" width="19.33203125" customWidth="1"/>
    <col min="17" max="17" width="19.77734375" customWidth="1"/>
  </cols>
  <sheetData>
    <row r="3" spans="2:10" ht="15" thickBot="1" x14ac:dyDescent="0.35"/>
    <row r="4" spans="2:10" x14ac:dyDescent="0.3">
      <c r="B4" s="45" t="s">
        <v>72</v>
      </c>
      <c r="C4" s="46" t="s">
        <v>71</v>
      </c>
      <c r="D4" s="46" t="s">
        <v>69</v>
      </c>
      <c r="E4" s="47" t="s">
        <v>70</v>
      </c>
      <c r="G4" s="45" t="s">
        <v>74</v>
      </c>
      <c r="H4" s="46" t="s">
        <v>71</v>
      </c>
      <c r="I4" s="45" t="s">
        <v>69</v>
      </c>
      <c r="J4" s="46" t="s">
        <v>70</v>
      </c>
    </row>
    <row r="5" spans="2:10" ht="15" thickBot="1" x14ac:dyDescent="0.35">
      <c r="B5" s="48" t="s">
        <v>64</v>
      </c>
      <c r="C5" s="49">
        <v>22.05</v>
      </c>
      <c r="D5" s="49">
        <v>29.91</v>
      </c>
      <c r="E5" s="50">
        <v>25.78</v>
      </c>
      <c r="G5" s="48" t="s">
        <v>64</v>
      </c>
      <c r="H5" s="49">
        <v>3.01</v>
      </c>
      <c r="I5" s="48">
        <v>1.65</v>
      </c>
      <c r="J5" s="49">
        <v>11.94</v>
      </c>
    </row>
    <row r="6" spans="2:10" x14ac:dyDescent="0.3">
      <c r="B6" s="48" t="s">
        <v>65</v>
      </c>
      <c r="C6" s="49">
        <v>45.99</v>
      </c>
      <c r="D6" s="49">
        <v>37.19</v>
      </c>
      <c r="E6" s="50">
        <v>33.549999999999997</v>
      </c>
      <c r="G6" s="45" t="s">
        <v>65</v>
      </c>
      <c r="H6" s="46">
        <v>10.58</v>
      </c>
      <c r="I6" s="45">
        <v>9.8800000000000008</v>
      </c>
      <c r="J6" s="46">
        <v>9.44</v>
      </c>
    </row>
    <row r="7" spans="2:10" ht="15" thickBot="1" x14ac:dyDescent="0.35">
      <c r="B7" s="48" t="s">
        <v>66</v>
      </c>
      <c r="C7" s="49">
        <v>52.4</v>
      </c>
      <c r="D7" s="49">
        <v>46.61</v>
      </c>
      <c r="E7" s="50">
        <v>49.4</v>
      </c>
      <c r="G7" s="48" t="s">
        <v>66</v>
      </c>
      <c r="H7" s="49">
        <v>6.2</v>
      </c>
      <c r="I7" s="48">
        <v>8.5500000000000007</v>
      </c>
      <c r="J7" s="49">
        <v>8.5299999999999994</v>
      </c>
    </row>
    <row r="8" spans="2:10" x14ac:dyDescent="0.3">
      <c r="B8" s="48" t="s">
        <v>67</v>
      </c>
      <c r="C8" s="49">
        <v>56.9</v>
      </c>
      <c r="D8" s="49">
        <v>50.29</v>
      </c>
      <c r="E8" s="50">
        <v>49.05</v>
      </c>
      <c r="G8" s="45" t="s">
        <v>67</v>
      </c>
      <c r="H8" s="46">
        <v>7</v>
      </c>
      <c r="I8" s="45">
        <v>8.66</v>
      </c>
      <c r="J8" s="46">
        <v>8.74</v>
      </c>
    </row>
    <row r="9" spans="2:10" ht="15" thickBot="1" x14ac:dyDescent="0.35">
      <c r="B9" s="48" t="s">
        <v>68</v>
      </c>
      <c r="C9" s="49">
        <v>57.87</v>
      </c>
      <c r="D9" s="49">
        <v>43.68</v>
      </c>
      <c r="E9" s="50">
        <v>45.24</v>
      </c>
      <c r="G9" s="48" t="s">
        <v>68</v>
      </c>
      <c r="H9" s="49">
        <v>10.44</v>
      </c>
      <c r="I9" s="48">
        <v>9.02</v>
      </c>
      <c r="J9" s="49">
        <v>8.92</v>
      </c>
    </row>
    <row r="10" spans="2:10" x14ac:dyDescent="0.3">
      <c r="B10" s="48" t="s">
        <v>77</v>
      </c>
      <c r="C10" s="49">
        <f>AVERAGE(C7:C9)</f>
        <v>55.723333333333329</v>
      </c>
      <c r="D10" s="49">
        <f t="shared" ref="D10" si="0">AVERAGE(D7:D9)</f>
        <v>46.860000000000007</v>
      </c>
      <c r="E10" s="50">
        <f>AVERAGE(E7:E9)</f>
        <v>47.896666666666668</v>
      </c>
      <c r="G10" s="45" t="s">
        <v>77</v>
      </c>
      <c r="H10" s="46">
        <f>AVERAGE(H7:H9)</f>
        <v>7.88</v>
      </c>
      <c r="I10" s="45">
        <f t="shared" ref="I10:J10" si="1">AVERAGE(I7:I9)</f>
        <v>8.7433333333333341</v>
      </c>
      <c r="J10" s="46">
        <f t="shared" si="1"/>
        <v>8.7299999999999986</v>
      </c>
    </row>
    <row r="11" spans="2:10" ht="15" thickBot="1" x14ac:dyDescent="0.35">
      <c r="B11" s="48" t="s">
        <v>76</v>
      </c>
      <c r="C11" s="49">
        <f>STDEV(C7:C9)</f>
        <v>2.9186697883339474</v>
      </c>
      <c r="D11" s="49">
        <f t="shared" ref="D11:E11" si="2">STDEV(D7:D9)</f>
        <v>3.3120839361344694</v>
      </c>
      <c r="E11" s="50">
        <f t="shared" si="2"/>
        <v>2.307386689164459</v>
      </c>
      <c r="G11" s="48" t="s">
        <v>76</v>
      </c>
      <c r="H11" s="49">
        <f>STDEV(H7:H9)</f>
        <v>2.2528204544525945</v>
      </c>
      <c r="I11" s="48">
        <f t="shared" ref="I11:J11" si="3">STDEV(I7:I9)</f>
        <v>0.24583192089989669</v>
      </c>
      <c r="J11" s="49">
        <f t="shared" si="3"/>
        <v>0.19519221295943165</v>
      </c>
    </row>
    <row r="12" spans="2:10" x14ac:dyDescent="0.3">
      <c r="B12" s="48" t="s">
        <v>78</v>
      </c>
      <c r="C12" s="49">
        <f>AVERAGE(C5:C9)</f>
        <v>47.042000000000002</v>
      </c>
      <c r="D12" s="49">
        <f t="shared" ref="D12:E12" si="4">AVERAGE(D5:D9)</f>
        <v>41.536000000000001</v>
      </c>
      <c r="E12" s="50">
        <f t="shared" si="4"/>
        <v>40.603999999999999</v>
      </c>
      <c r="G12" s="45" t="s">
        <v>78</v>
      </c>
      <c r="H12" s="46">
        <f>AVERAGE(H5:H9)</f>
        <v>7.4459999999999997</v>
      </c>
      <c r="I12" s="45">
        <f t="shared" ref="I12:J12" si="5">AVERAGE(I5:I9)</f>
        <v>7.5520000000000014</v>
      </c>
      <c r="J12" s="46">
        <f t="shared" si="5"/>
        <v>9.5139999999999993</v>
      </c>
    </row>
    <row r="13" spans="2:10" ht="15" thickBot="1" x14ac:dyDescent="0.35">
      <c r="B13" s="51" t="s">
        <v>79</v>
      </c>
      <c r="C13" s="52">
        <f>STDEV(C5:C9)</f>
        <v>14.738051770841334</v>
      </c>
      <c r="D13" s="52">
        <f t="shared" ref="D13:E13" si="6">STDEV(D5:D9)</f>
        <v>8.0781544922092046</v>
      </c>
      <c r="E13" s="53">
        <f t="shared" si="6"/>
        <v>10.484594889646434</v>
      </c>
      <c r="G13" s="48" t="s">
        <v>79</v>
      </c>
      <c r="H13" s="49">
        <f>STDEV(H5:H9)</f>
        <v>3.1707853916656052</v>
      </c>
      <c r="I13" s="48">
        <f t="shared" ref="I13:J13" si="7">STDEV(I5:I9)</f>
        <v>3.3403547715774131</v>
      </c>
      <c r="J13" s="49">
        <f t="shared" si="7"/>
        <v>1.3974190495338146</v>
      </c>
    </row>
    <row r="18" spans="2:10" ht="15" thickBot="1" x14ac:dyDescent="0.35"/>
    <row r="19" spans="2:10" x14ac:dyDescent="0.3">
      <c r="B19" s="45" t="s">
        <v>75</v>
      </c>
      <c r="C19" s="46" t="s">
        <v>71</v>
      </c>
      <c r="D19" s="45" t="s">
        <v>69</v>
      </c>
      <c r="E19" s="46" t="s">
        <v>70</v>
      </c>
      <c r="G19" s="45" t="s">
        <v>73</v>
      </c>
      <c r="H19" s="46" t="s">
        <v>71</v>
      </c>
      <c r="I19" s="45" t="s">
        <v>69</v>
      </c>
      <c r="J19" s="46" t="s">
        <v>70</v>
      </c>
    </row>
    <row r="20" spans="2:10" ht="15" thickBot="1" x14ac:dyDescent="0.35">
      <c r="B20" s="48" t="s">
        <v>64</v>
      </c>
      <c r="C20" s="49">
        <v>23.02</v>
      </c>
      <c r="D20" s="48">
        <v>11.94</v>
      </c>
      <c r="E20" s="49">
        <v>11.76</v>
      </c>
      <c r="G20" s="48" t="s">
        <v>64</v>
      </c>
      <c r="H20" s="49">
        <v>5.82</v>
      </c>
      <c r="I20" s="48">
        <v>5.01</v>
      </c>
      <c r="J20" s="49">
        <v>5.23</v>
      </c>
    </row>
    <row r="21" spans="2:10" x14ac:dyDescent="0.3">
      <c r="B21" s="45" t="s">
        <v>65</v>
      </c>
      <c r="C21" s="46">
        <v>2.54</v>
      </c>
      <c r="D21" s="45">
        <v>1.27</v>
      </c>
      <c r="E21" s="46">
        <v>1.1299999999999999</v>
      </c>
      <c r="G21" s="45" t="s">
        <v>65</v>
      </c>
      <c r="H21" s="46">
        <v>3.62</v>
      </c>
      <c r="I21" s="45">
        <v>4.6399999999999997</v>
      </c>
      <c r="J21" s="46">
        <v>4.6500000000000004</v>
      </c>
    </row>
    <row r="22" spans="2:10" ht="15" thickBot="1" x14ac:dyDescent="0.35">
      <c r="B22" s="48" t="s">
        <v>66</v>
      </c>
      <c r="C22" s="49">
        <v>0.21</v>
      </c>
      <c r="D22" s="48">
        <v>1.1100000000000001</v>
      </c>
      <c r="E22" s="49">
        <v>0.88</v>
      </c>
      <c r="G22" s="48" t="s">
        <v>66</v>
      </c>
      <c r="H22" s="49">
        <v>7.9</v>
      </c>
      <c r="I22" s="48">
        <v>4.2300000000000004</v>
      </c>
      <c r="J22" s="49">
        <v>6.84</v>
      </c>
    </row>
    <row r="23" spans="2:10" x14ac:dyDescent="0.3">
      <c r="B23" s="45" t="s">
        <v>67</v>
      </c>
      <c r="C23" s="46">
        <v>0.27</v>
      </c>
      <c r="D23" s="45">
        <v>0.89</v>
      </c>
      <c r="E23" s="46">
        <v>0.77</v>
      </c>
      <c r="G23" s="45" t="s">
        <v>67</v>
      </c>
      <c r="H23" s="46">
        <v>8.6999999999999993</v>
      </c>
      <c r="I23" s="45">
        <v>7.58</v>
      </c>
      <c r="J23" s="46">
        <v>8</v>
      </c>
    </row>
    <row r="24" spans="2:10" ht="15" thickBot="1" x14ac:dyDescent="0.35">
      <c r="B24" s="48" t="s">
        <v>68</v>
      </c>
      <c r="C24" s="49">
        <v>3.62</v>
      </c>
      <c r="D24" s="48">
        <v>1.1000000000000001</v>
      </c>
      <c r="E24" s="49">
        <v>0.91</v>
      </c>
      <c r="G24" s="48" t="s">
        <v>68</v>
      </c>
      <c r="H24" s="49">
        <v>3.93</v>
      </c>
      <c r="I24" s="48">
        <v>4.38</v>
      </c>
      <c r="J24" s="49">
        <v>6.06</v>
      </c>
    </row>
    <row r="25" spans="2:10" x14ac:dyDescent="0.3">
      <c r="B25" s="45" t="s">
        <v>77</v>
      </c>
      <c r="C25" s="46">
        <f>AVERAGE(C22:C24)</f>
        <v>1.3666666666666665</v>
      </c>
      <c r="D25" s="45">
        <f>AVERAGE(D22:D24)</f>
        <v>1.0333333333333334</v>
      </c>
      <c r="E25" s="46">
        <f>AVERAGE(E22:E24)</f>
        <v>0.85333333333333339</v>
      </c>
      <c r="G25" s="45" t="s">
        <v>77</v>
      </c>
      <c r="H25" s="46">
        <f>AVERAGE(H22:H24)</f>
        <v>6.8433333333333337</v>
      </c>
      <c r="I25" s="45">
        <f>AVERAGE(I22:I24)</f>
        <v>5.3966666666666674</v>
      </c>
      <c r="J25" s="46">
        <f>AVERAGE(J22:J24)</f>
        <v>6.9666666666666659</v>
      </c>
    </row>
    <row r="26" spans="2:10" ht="15" thickBot="1" x14ac:dyDescent="0.35">
      <c r="B26" s="48" t="s">
        <v>76</v>
      </c>
      <c r="C26" s="49">
        <f>STDEV(C22:C24)</f>
        <v>1.9516744947181468</v>
      </c>
      <c r="D26" s="48">
        <f>STDEV(D22:D24)</f>
        <v>0.12423096769056154</v>
      </c>
      <c r="E26" s="49">
        <f>STDEV(E22:E24)</f>
        <v>7.3711147958319942E-2</v>
      </c>
      <c r="G26" s="48" t="s">
        <v>76</v>
      </c>
      <c r="H26" s="49">
        <f>STDEV(H22:H24)</f>
        <v>2.5545319205939307</v>
      </c>
      <c r="I26" s="48">
        <f>STDEV(I22:I24)</f>
        <v>1.8923089952048875</v>
      </c>
      <c r="J26" s="49">
        <f>STDEV(J22:J24)</f>
        <v>0.97618304294498692</v>
      </c>
    </row>
    <row r="27" spans="2:10" x14ac:dyDescent="0.3">
      <c r="B27" s="45" t="s">
        <v>78</v>
      </c>
      <c r="C27" s="46">
        <f>AVERAGE(C20:C24)</f>
        <v>5.9320000000000004</v>
      </c>
      <c r="D27" s="45">
        <f>AVERAGE(D20:D24)</f>
        <v>3.2619999999999996</v>
      </c>
      <c r="E27" s="46">
        <f>AVERAGE(E20:E24)</f>
        <v>3.0900000000000003</v>
      </c>
      <c r="G27" s="45" t="s">
        <v>78</v>
      </c>
      <c r="H27" s="46">
        <f>AVERAGE(H20:H24)</f>
        <v>5.9940000000000007</v>
      </c>
      <c r="I27" s="45">
        <f>AVERAGE(I20:I24)</f>
        <v>5.1680000000000001</v>
      </c>
      <c r="J27" s="46">
        <f>AVERAGE(J20:J24)</f>
        <v>6.1559999999999997</v>
      </c>
    </row>
    <row r="28" spans="2:10" x14ac:dyDescent="0.3">
      <c r="B28" s="48" t="s">
        <v>79</v>
      </c>
      <c r="C28" s="49">
        <f>STDEV(C20:C24)</f>
        <v>9.6650178478883308</v>
      </c>
      <c r="D28" s="48">
        <f>STDEV(D20:D24)</f>
        <v>4.8530268905086444</v>
      </c>
      <c r="E28" s="49">
        <f>STDEV(E20:E24)</f>
        <v>4.84843789276505</v>
      </c>
      <c r="G28" s="48" t="s">
        <v>79</v>
      </c>
      <c r="H28" s="49">
        <f>STDEV(H20:H24)</f>
        <v>2.2848150909865734</v>
      </c>
      <c r="I28" s="48">
        <f>STDEV(I20:I24)</f>
        <v>1.3804238479539552</v>
      </c>
      <c r="J28" s="49">
        <f>STDEV(J20:J24)</f>
        <v>1.3231515408297008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465228BC98504C891F205D88FB3916" ma:contentTypeVersion="2" ma:contentTypeDescription="Create a new document." ma:contentTypeScope="" ma:versionID="3bd74cd5b7048b894522728544d130f2">
  <xsd:schema xmlns:xsd="http://www.w3.org/2001/XMLSchema" xmlns:xs="http://www.w3.org/2001/XMLSchema" xmlns:p="http://schemas.microsoft.com/office/2006/metadata/properties" xmlns:ns3="625087a1-0521-41e0-9398-1baab55741fa" targetNamespace="http://schemas.microsoft.com/office/2006/metadata/properties" ma:root="true" ma:fieldsID="735eced72a2fb53334f3f189e031216d" ns3:_="">
    <xsd:import namespace="625087a1-0521-41e0-9398-1baab55741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087a1-0521-41e0-9398-1baab55741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CF80C3-67BB-4FAF-9A18-A1A71DB6C4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89FC71-1C69-483A-97E1-B5D4C704AF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5087a1-0521-41e0-9398-1baab55741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E85CC5-5942-4F1D-9920-05A67831FD54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625087a1-0521-41e0-9398-1baab55741fa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Relavage Pb</vt:lpstr>
      <vt:lpstr>Relavage 1</vt:lpstr>
      <vt:lpstr>Relavage 3</vt:lpstr>
      <vt:lpstr>Relavage 4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Mery</dc:creator>
  <cp:lastModifiedBy>Ahmed BENDAOUIA</cp:lastModifiedBy>
  <dcterms:created xsi:type="dcterms:W3CDTF">2019-04-02T16:05:30Z</dcterms:created>
  <dcterms:modified xsi:type="dcterms:W3CDTF">2022-12-06T12:31:12Z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0x0101005A465228BC98504C891F205D88FB3916</vt:lpwstr>
  </property>
</Properties>
</file>